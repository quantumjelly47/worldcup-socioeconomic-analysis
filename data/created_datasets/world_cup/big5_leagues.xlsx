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e/Downloads/DS-GA 1007 Project/"/>
    </mc:Choice>
  </mc:AlternateContent>
  <xr:revisionPtr revIDLastSave="0" documentId="8_{8AA2B38B-5ED8-E44C-844E-6BEF20F80BD4}" xr6:coauthVersionLast="47" xr6:coauthVersionMax="47" xr10:uidLastSave="{00000000-0000-0000-0000-000000000000}"/>
  <bookViews>
    <workbookView xWindow="680" yWindow="680" windowWidth="28040" windowHeight="17140" activeTab="1" xr2:uid="{A021B881-9ED5-D64E-BD63-18528D758A64}"/>
  </bookViews>
  <sheets>
    <sheet name="year1994" sheetId="1" r:id="rId1"/>
    <sheet name="year1998" sheetId="2" r:id="rId2"/>
    <sheet name="year2002" sheetId="3" r:id="rId3"/>
    <sheet name="year2006" sheetId="4" r:id="rId4"/>
    <sheet name="year2010" sheetId="5" r:id="rId5"/>
    <sheet name="year2014" sheetId="6" r:id="rId6"/>
    <sheet name="year2018" sheetId="7" r:id="rId7"/>
    <sheet name="year2022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 a="1"/>
  <c r="A3" i="8" s="1"/>
  <c r="A4" i="8" a="1"/>
  <c r="A4" i="8" s="1"/>
  <c r="A5" i="8" a="1"/>
  <c r="A5" i="8"/>
  <c r="A6" i="8" a="1"/>
  <c r="A6" i="8"/>
  <c r="A7" i="8" a="1"/>
  <c r="A7" i="8"/>
  <c r="A8" i="8" a="1"/>
  <c r="A8" i="8" s="1"/>
  <c r="A9" i="8" a="1"/>
  <c r="A9" i="8" s="1"/>
  <c r="A10" i="8" a="1"/>
  <c r="A10" i="8"/>
  <c r="A11" i="8" a="1"/>
  <c r="A11" i="8"/>
  <c r="A12" i="8" a="1"/>
  <c r="A12" i="8"/>
  <c r="A13" i="8" a="1"/>
  <c r="A13" i="8" s="1"/>
  <c r="A14" i="8" a="1"/>
  <c r="A14" i="8" s="1"/>
  <c r="A15" i="8" a="1"/>
  <c r="A15" i="8"/>
  <c r="A16" i="8" a="1"/>
  <c r="A16" i="8"/>
  <c r="A17" i="8" a="1"/>
  <c r="A17" i="8"/>
  <c r="A18" i="8" a="1"/>
  <c r="A18" i="8" s="1"/>
  <c r="A19" i="8" a="1"/>
  <c r="A19" i="8" s="1"/>
  <c r="A20" i="8" a="1"/>
  <c r="A20" i="8"/>
  <c r="A21" i="8" a="1"/>
  <c r="A21" i="8"/>
  <c r="A22" i="8" a="1"/>
  <c r="A22" i="8"/>
  <c r="A23" i="8" a="1"/>
  <c r="A23" i="8" s="1"/>
  <c r="A24" i="8" a="1"/>
  <c r="A24" i="8" s="1"/>
  <c r="A25" i="8" a="1"/>
  <c r="A25" i="8"/>
  <c r="A26" i="8" a="1"/>
  <c r="A26" i="8"/>
  <c r="A27" i="8" a="1"/>
  <c r="A27" i="8"/>
  <c r="A28" i="8" a="1"/>
  <c r="A28" i="8" s="1"/>
  <c r="A29" i="8" a="1"/>
  <c r="A29" i="8" s="1"/>
  <c r="A30" i="8" a="1"/>
  <c r="A30" i="8"/>
  <c r="A31" i="8" a="1"/>
  <c r="A31" i="8"/>
  <c r="A32" i="8" a="1"/>
  <c r="A32" i="8"/>
  <c r="A33" i="8" a="1"/>
  <c r="A33" i="8" s="1"/>
  <c r="A34" i="8" a="1"/>
  <c r="A34" i="8" s="1"/>
  <c r="A35" i="8" a="1"/>
  <c r="A35" i="8"/>
  <c r="A36" i="8" a="1"/>
  <c r="A36" i="8"/>
  <c r="A37" i="8" a="1"/>
  <c r="A37" i="8"/>
  <c r="A38" i="8" a="1"/>
  <c r="A38" i="8" s="1"/>
  <c r="A39" i="8" a="1"/>
  <c r="A39" i="8" s="1"/>
  <c r="A40" i="8" a="1"/>
  <c r="A40" i="8"/>
  <c r="A41" i="8" a="1"/>
  <c r="A41" i="8"/>
  <c r="A42" i="8" a="1"/>
  <c r="A42" i="8"/>
  <c r="A43" i="8" a="1"/>
  <c r="A43" i="8" s="1"/>
  <c r="A44" i="8" a="1"/>
  <c r="A44" i="8" s="1"/>
  <c r="A45" i="8" a="1"/>
  <c r="A45" i="8"/>
  <c r="A46" i="8" a="1"/>
  <c r="A46" i="8"/>
  <c r="A47" i="8" a="1"/>
  <c r="A47" i="8"/>
  <c r="A48" i="8" a="1"/>
  <c r="A48" i="8" s="1"/>
  <c r="A49" i="8" a="1"/>
  <c r="A49" i="8" s="1"/>
  <c r="A50" i="8" a="1"/>
  <c r="A50" i="8"/>
  <c r="A51" i="8" a="1"/>
  <c r="A51" i="8"/>
  <c r="A52" i="8" a="1"/>
  <c r="A52" i="8"/>
  <c r="A53" i="8" a="1"/>
  <c r="A53" i="8" s="1"/>
  <c r="A54" i="8" a="1"/>
  <c r="A54" i="8" s="1"/>
  <c r="A55" i="8" a="1"/>
  <c r="A55" i="8"/>
  <c r="A56" i="8" a="1"/>
  <c r="A56" i="8"/>
  <c r="A57" i="8" a="1"/>
  <c r="A57" i="8"/>
  <c r="A58" i="8" a="1"/>
  <c r="A58" i="8" s="1"/>
  <c r="A59" i="8" a="1"/>
  <c r="A59" i="8" s="1"/>
  <c r="A60" i="8" a="1"/>
  <c r="A60" i="8"/>
  <c r="A61" i="8" a="1"/>
  <c r="A61" i="8"/>
  <c r="A62" i="8" a="1"/>
  <c r="A62" i="8"/>
  <c r="A63" i="8" a="1"/>
  <c r="A63" i="8" s="1"/>
  <c r="A64" i="8" a="1"/>
  <c r="A64" i="8" s="1"/>
  <c r="A65" i="8" a="1"/>
  <c r="A65" i="8"/>
  <c r="A66" i="8" a="1"/>
  <c r="A66" i="8"/>
  <c r="A67" i="8" a="1"/>
  <c r="A67" i="8"/>
  <c r="A68" i="8" a="1"/>
  <c r="A68" i="8" s="1"/>
  <c r="A69" i="8" a="1"/>
  <c r="A69" i="8" s="1"/>
  <c r="A70" i="8" a="1"/>
  <c r="A70" i="8"/>
  <c r="A71" i="8" a="1"/>
  <c r="A71" i="8"/>
  <c r="A72" i="8" a="1"/>
  <c r="A72" i="8"/>
  <c r="A73" i="8" a="1"/>
  <c r="A73" i="8" s="1"/>
  <c r="A74" i="8" a="1"/>
  <c r="A74" i="8" s="1"/>
  <c r="A75" i="8" a="1"/>
  <c r="A75" i="8"/>
  <c r="A76" i="8" a="1"/>
  <c r="A76" i="8"/>
  <c r="A77" i="8" a="1"/>
  <c r="A77" i="8"/>
  <c r="A78" i="8" a="1"/>
  <c r="A78" i="8" s="1"/>
  <c r="A79" i="8" a="1"/>
  <c r="A79" i="8" s="1"/>
  <c r="A80" i="8" a="1"/>
  <c r="A80" i="8"/>
  <c r="A81" i="8" a="1"/>
  <c r="A81" i="8"/>
  <c r="A82" i="8" a="1"/>
  <c r="A82" i="8"/>
  <c r="A83" i="8" a="1"/>
  <c r="A83" i="8" s="1"/>
  <c r="A84" i="8" a="1"/>
  <c r="A84" i="8" s="1"/>
  <c r="A85" i="8" a="1"/>
  <c r="A85" i="8"/>
  <c r="A86" i="8" a="1"/>
  <c r="A86" i="8"/>
  <c r="A87" i="8" a="1"/>
  <c r="A87" i="8"/>
  <c r="A88" i="8" a="1"/>
  <c r="A88" i="8" s="1"/>
  <c r="A89" i="8" a="1"/>
  <c r="A89" i="8" s="1"/>
  <c r="A90" i="8" a="1"/>
  <c r="A90" i="8"/>
  <c r="A91" i="8" a="1"/>
  <c r="A91" i="8"/>
  <c r="A92" i="8" a="1"/>
  <c r="A92" i="8"/>
  <c r="A93" i="8" a="1"/>
  <c r="A93" i="8" s="1"/>
  <c r="A94" i="8" a="1"/>
  <c r="A94" i="8" s="1"/>
  <c r="A95" i="8" a="1"/>
  <c r="A95" i="8"/>
  <c r="A96" i="8" a="1"/>
  <c r="A96" i="8"/>
  <c r="A97" i="8" a="1"/>
  <c r="A97" i="8"/>
  <c r="A98" i="8" a="1"/>
  <c r="A98" i="8" s="1"/>
  <c r="A99" i="8" a="1"/>
  <c r="A99" i="8" s="1"/>
  <c r="A2" i="8" a="1"/>
  <c r="A2" i="8" s="1"/>
  <c r="A3" i="7" a="1"/>
  <c r="A3" i="7" s="1"/>
  <c r="A4" i="7" a="1"/>
  <c r="A4" i="7"/>
  <c r="A5" i="7" a="1"/>
  <c r="A5" i="7"/>
  <c r="A6" i="7" a="1"/>
  <c r="A6" i="7"/>
  <c r="A7" i="7" a="1"/>
  <c r="A7" i="7"/>
  <c r="A8" i="7" a="1"/>
  <c r="A8" i="7" s="1"/>
  <c r="A9" i="7" a="1"/>
  <c r="A9" i="7"/>
  <c r="A10" i="7" a="1"/>
  <c r="A10" i="7"/>
  <c r="A11" i="7" a="1"/>
  <c r="A11" i="7"/>
  <c r="A12" i="7" a="1"/>
  <c r="A12" i="7"/>
  <c r="A13" i="7" a="1"/>
  <c r="A13" i="7" s="1"/>
  <c r="A14" i="7" a="1"/>
  <c r="A14" i="7"/>
  <c r="A15" i="7" a="1"/>
  <c r="A15" i="7"/>
  <c r="A16" i="7" a="1"/>
  <c r="A16" i="7"/>
  <c r="A17" i="7" a="1"/>
  <c r="A17" i="7"/>
  <c r="A18" i="7" a="1"/>
  <c r="A18" i="7" s="1"/>
  <c r="A19" i="7" a="1"/>
  <c r="A19" i="7"/>
  <c r="A20" i="7" a="1"/>
  <c r="A20" i="7"/>
  <c r="A21" i="7" a="1"/>
  <c r="A21" i="7"/>
  <c r="A22" i="7" a="1"/>
  <c r="A22" i="7"/>
  <c r="A23" i="7" a="1"/>
  <c r="A23" i="7" s="1"/>
  <c r="A24" i="7" a="1"/>
  <c r="A24" i="7"/>
  <c r="A25" i="7" a="1"/>
  <c r="A25" i="7"/>
  <c r="A26" i="7" a="1"/>
  <c r="A26" i="7"/>
  <c r="A27" i="7" a="1"/>
  <c r="A27" i="7"/>
  <c r="A28" i="7" a="1"/>
  <c r="A28" i="7" s="1"/>
  <c r="A29" i="7" a="1"/>
  <c r="A29" i="7"/>
  <c r="A30" i="7" a="1"/>
  <c r="A30" i="7"/>
  <c r="A31" i="7" a="1"/>
  <c r="A31" i="7"/>
  <c r="A32" i="7" a="1"/>
  <c r="A32" i="7"/>
  <c r="A33" i="7" a="1"/>
  <c r="A33" i="7" s="1"/>
  <c r="A34" i="7" a="1"/>
  <c r="A34" i="7"/>
  <c r="A35" i="7" a="1"/>
  <c r="A35" i="7"/>
  <c r="A36" i="7" a="1"/>
  <c r="A36" i="7"/>
  <c r="A37" i="7" a="1"/>
  <c r="A37" i="7"/>
  <c r="A38" i="7" a="1"/>
  <c r="A38" i="7" s="1"/>
  <c r="A39" i="7" a="1"/>
  <c r="A39" i="7"/>
  <c r="A40" i="7" a="1"/>
  <c r="A40" i="7"/>
  <c r="A41" i="7" a="1"/>
  <c r="A41" i="7"/>
  <c r="A42" i="7" a="1"/>
  <c r="A42" i="7"/>
  <c r="A43" i="7" a="1"/>
  <c r="A43" i="7" s="1"/>
  <c r="A44" i="7" a="1"/>
  <c r="A44" i="7"/>
  <c r="A45" i="7" a="1"/>
  <c r="A45" i="7"/>
  <c r="A46" i="7" a="1"/>
  <c r="A46" i="7"/>
  <c r="A47" i="7" a="1"/>
  <c r="A47" i="7"/>
  <c r="A48" i="7" a="1"/>
  <c r="A48" i="7" s="1"/>
  <c r="A49" i="7" a="1"/>
  <c r="A49" i="7"/>
  <c r="A50" i="7" a="1"/>
  <c r="A50" i="7"/>
  <c r="A51" i="7" a="1"/>
  <c r="A51" i="7"/>
  <c r="A52" i="7" a="1"/>
  <c r="A52" i="7"/>
  <c r="A53" i="7" a="1"/>
  <c r="A53" i="7" s="1"/>
  <c r="A54" i="7" a="1"/>
  <c r="A54" i="7"/>
  <c r="A55" i="7" a="1"/>
  <c r="A55" i="7"/>
  <c r="A56" i="7" a="1"/>
  <c r="A56" i="7"/>
  <c r="A57" i="7" a="1"/>
  <c r="A57" i="7"/>
  <c r="A58" i="7" a="1"/>
  <c r="A58" i="7" s="1"/>
  <c r="A59" i="7" a="1"/>
  <c r="A59" i="7"/>
  <c r="A60" i="7" a="1"/>
  <c r="A60" i="7"/>
  <c r="A61" i="7" a="1"/>
  <c r="A61" i="7"/>
  <c r="A62" i="7" a="1"/>
  <c r="A62" i="7"/>
  <c r="A63" i="7" a="1"/>
  <c r="A63" i="7" s="1"/>
  <c r="A64" i="7" a="1"/>
  <c r="A64" i="7"/>
  <c r="A65" i="7" a="1"/>
  <c r="A65" i="7"/>
  <c r="A66" i="7" a="1"/>
  <c r="A66" i="7"/>
  <c r="A67" i="7" a="1"/>
  <c r="A67" i="7"/>
  <c r="A68" i="7" a="1"/>
  <c r="A68" i="7" s="1"/>
  <c r="A69" i="7" a="1"/>
  <c r="A69" i="7"/>
  <c r="A70" i="7" a="1"/>
  <c r="A70" i="7"/>
  <c r="A71" i="7" a="1"/>
  <c r="A71" i="7"/>
  <c r="A72" i="7" a="1"/>
  <c r="A72" i="7"/>
  <c r="A73" i="7" a="1"/>
  <c r="A73" i="7" s="1"/>
  <c r="A74" i="7" a="1"/>
  <c r="A74" i="7"/>
  <c r="A75" i="7" a="1"/>
  <c r="A75" i="7"/>
  <c r="A76" i="7" a="1"/>
  <c r="A76" i="7"/>
  <c r="A77" i="7" a="1"/>
  <c r="A77" i="7"/>
  <c r="A78" i="7" a="1"/>
  <c r="A78" i="7" s="1"/>
  <c r="A79" i="7" a="1"/>
  <c r="A79" i="7"/>
  <c r="A80" i="7" a="1"/>
  <c r="A80" i="7" s="1"/>
  <c r="A81" i="7" a="1"/>
  <c r="A81" i="7"/>
  <c r="A82" i="7" a="1"/>
  <c r="A82" i="7"/>
  <c r="A83" i="7" a="1"/>
  <c r="A83" i="7" s="1"/>
  <c r="A84" i="7" a="1"/>
  <c r="A84" i="7"/>
  <c r="A85" i="7" a="1"/>
  <c r="A85" i="7"/>
  <c r="A86" i="7" a="1"/>
  <c r="A86" i="7"/>
  <c r="A87" i="7" a="1"/>
  <c r="A87" i="7"/>
  <c r="A88" i="7" a="1"/>
  <c r="A88" i="7" s="1"/>
  <c r="A89" i="7" a="1"/>
  <c r="A89" i="7"/>
  <c r="A90" i="7" a="1"/>
  <c r="A90" i="7"/>
  <c r="A91" i="7" a="1"/>
  <c r="A91" i="7"/>
  <c r="A92" i="7" a="1"/>
  <c r="A92" i="7"/>
  <c r="A93" i="7" a="1"/>
  <c r="A93" i="7" s="1"/>
  <c r="A94" i="7" a="1"/>
  <c r="A94" i="7"/>
  <c r="A95" i="7" a="1"/>
  <c r="A95" i="7"/>
  <c r="A96" i="7" a="1"/>
  <c r="A96" i="7"/>
  <c r="A97" i="7" a="1"/>
  <c r="A97" i="7"/>
  <c r="A98" i="7" a="1"/>
  <c r="A98" i="7" s="1"/>
  <c r="A99" i="7" a="1"/>
  <c r="A99" i="7"/>
  <c r="A2" i="7" a="1"/>
  <c r="A2" i="7" s="1"/>
  <c r="A3" i="6" a="1"/>
  <c r="A3" i="6" s="1"/>
  <c r="A4" i="6" a="1"/>
  <c r="A4" i="6" s="1"/>
  <c r="A5" i="6" a="1"/>
  <c r="A5" i="6"/>
  <c r="A6" i="6" a="1"/>
  <c r="A6" i="6"/>
  <c r="A7" i="6" a="1"/>
  <c r="A7" i="6"/>
  <c r="A8" i="6" a="1"/>
  <c r="A8" i="6" s="1"/>
  <c r="A9" i="6" a="1"/>
  <c r="A9" i="6" s="1"/>
  <c r="A10" i="6" a="1"/>
  <c r="A10" i="6"/>
  <c r="A11" i="6" a="1"/>
  <c r="A11" i="6"/>
  <c r="A12" i="6" a="1"/>
  <c r="A12" i="6"/>
  <c r="A13" i="6" a="1"/>
  <c r="A13" i="6" s="1"/>
  <c r="A14" i="6" a="1"/>
  <c r="A14" i="6" s="1"/>
  <c r="A15" i="6" a="1"/>
  <c r="A15" i="6"/>
  <c r="A16" i="6" a="1"/>
  <c r="A16" i="6"/>
  <c r="A17" i="6" a="1"/>
  <c r="A17" i="6"/>
  <c r="A18" i="6" a="1"/>
  <c r="A18" i="6" s="1"/>
  <c r="A19" i="6" a="1"/>
  <c r="A19" i="6" s="1"/>
  <c r="A20" i="6" a="1"/>
  <c r="A20" i="6"/>
  <c r="A21" i="6" a="1"/>
  <c r="A21" i="6"/>
  <c r="A22" i="6" a="1"/>
  <c r="A22" i="6"/>
  <c r="A23" i="6" a="1"/>
  <c r="A23" i="6" s="1"/>
  <c r="A24" i="6" a="1"/>
  <c r="A24" i="6" s="1"/>
  <c r="A25" i="6" a="1"/>
  <c r="A25" i="6"/>
  <c r="A26" i="6" a="1"/>
  <c r="A26" i="6"/>
  <c r="A27" i="6" a="1"/>
  <c r="A27" i="6"/>
  <c r="A28" i="6" a="1"/>
  <c r="A28" i="6" s="1"/>
  <c r="A29" i="6" a="1"/>
  <c r="A29" i="6" s="1"/>
  <c r="A30" i="6" a="1"/>
  <c r="A30" i="6"/>
  <c r="A31" i="6" a="1"/>
  <c r="A31" i="6"/>
  <c r="A32" i="6" a="1"/>
  <c r="A32" i="6"/>
  <c r="A33" i="6" a="1"/>
  <c r="A33" i="6" s="1"/>
  <c r="A34" i="6" a="1"/>
  <c r="A34" i="6" s="1"/>
  <c r="A35" i="6" a="1"/>
  <c r="A35" i="6"/>
  <c r="A36" i="6" a="1"/>
  <c r="A36" i="6"/>
  <c r="A37" i="6" a="1"/>
  <c r="A37" i="6"/>
  <c r="A38" i="6" a="1"/>
  <c r="A38" i="6" s="1"/>
  <c r="A39" i="6" a="1"/>
  <c r="A39" i="6" s="1"/>
  <c r="A40" i="6" a="1"/>
  <c r="A40" i="6"/>
  <c r="A41" i="6" a="1"/>
  <c r="A41" i="6"/>
  <c r="A42" i="6" a="1"/>
  <c r="A42" i="6"/>
  <c r="A43" i="6" a="1"/>
  <c r="A43" i="6" s="1"/>
  <c r="A44" i="6" a="1"/>
  <c r="A44" i="6" s="1"/>
  <c r="A45" i="6" a="1"/>
  <c r="A45" i="6"/>
  <c r="A46" i="6" a="1"/>
  <c r="A46" i="6"/>
  <c r="A47" i="6" a="1"/>
  <c r="A47" i="6"/>
  <c r="A48" i="6" a="1"/>
  <c r="A48" i="6" s="1"/>
  <c r="A49" i="6" a="1"/>
  <c r="A49" i="6" s="1"/>
  <c r="A50" i="6" a="1"/>
  <c r="A50" i="6"/>
  <c r="A51" i="6" a="1"/>
  <c r="A51" i="6"/>
  <c r="A52" i="6" a="1"/>
  <c r="A52" i="6"/>
  <c r="A53" i="6" a="1"/>
  <c r="A53" i="6" s="1"/>
  <c r="A54" i="6" a="1"/>
  <c r="A54" i="6" s="1"/>
  <c r="A55" i="6" a="1"/>
  <c r="A55" i="6"/>
  <c r="A56" i="6" a="1"/>
  <c r="A56" i="6"/>
  <c r="A57" i="6" a="1"/>
  <c r="A57" i="6"/>
  <c r="A58" i="6" a="1"/>
  <c r="A58" i="6" s="1"/>
  <c r="A59" i="6" a="1"/>
  <c r="A59" i="6" s="1"/>
  <c r="A60" i="6" a="1"/>
  <c r="A60" i="6" s="1"/>
  <c r="A61" i="6" a="1"/>
  <c r="A61" i="6"/>
  <c r="A62" i="6" a="1"/>
  <c r="A62" i="6"/>
  <c r="A63" i="6" a="1"/>
  <c r="A63" i="6" s="1"/>
  <c r="A64" i="6" a="1"/>
  <c r="A64" i="6" s="1"/>
  <c r="A65" i="6" a="1"/>
  <c r="A65" i="6"/>
  <c r="A66" i="6" a="1"/>
  <c r="A66" i="6"/>
  <c r="A67" i="6" a="1"/>
  <c r="A67" i="6"/>
  <c r="A68" i="6" a="1"/>
  <c r="A68" i="6" s="1"/>
  <c r="A69" i="6" a="1"/>
  <c r="A69" i="6" s="1"/>
  <c r="A70" i="6" a="1"/>
  <c r="A70" i="6"/>
  <c r="A71" i="6" a="1"/>
  <c r="A71" i="6"/>
  <c r="A72" i="6" a="1"/>
  <c r="A72" i="6"/>
  <c r="A73" i="6" a="1"/>
  <c r="A73" i="6" s="1"/>
  <c r="A74" i="6" a="1"/>
  <c r="A74" i="6" s="1"/>
  <c r="A75" i="6" a="1"/>
  <c r="A75" i="6"/>
  <c r="A76" i="6" a="1"/>
  <c r="A76" i="6"/>
  <c r="A77" i="6" a="1"/>
  <c r="A77" i="6"/>
  <c r="A78" i="6" a="1"/>
  <c r="A78" i="6" s="1"/>
  <c r="A79" i="6" a="1"/>
  <c r="A79" i="6" s="1"/>
  <c r="A80" i="6" a="1"/>
  <c r="A80" i="6"/>
  <c r="A81" i="6" a="1"/>
  <c r="A81" i="6"/>
  <c r="A82" i="6" a="1"/>
  <c r="A82" i="6"/>
  <c r="A83" i="6" a="1"/>
  <c r="A83" i="6" s="1"/>
  <c r="A84" i="6" a="1"/>
  <c r="A84" i="6" s="1"/>
  <c r="A85" i="6" a="1"/>
  <c r="A85" i="6"/>
  <c r="A86" i="6" a="1"/>
  <c r="A86" i="6"/>
  <c r="A87" i="6" a="1"/>
  <c r="A87" i="6"/>
  <c r="A88" i="6" a="1"/>
  <c r="A88" i="6" s="1"/>
  <c r="A89" i="6" a="1"/>
  <c r="A89" i="6" s="1"/>
  <c r="A90" i="6" a="1"/>
  <c r="A90" i="6"/>
  <c r="A91" i="6" a="1"/>
  <c r="A91" i="6"/>
  <c r="A92" i="6" a="1"/>
  <c r="A92" i="6"/>
  <c r="A93" i="6" a="1"/>
  <c r="A93" i="6" s="1"/>
  <c r="A94" i="6" a="1"/>
  <c r="A94" i="6" s="1"/>
  <c r="A95" i="6" a="1"/>
  <c r="A95" i="6"/>
  <c r="A96" i="6" a="1"/>
  <c r="A96" i="6"/>
  <c r="A97" i="6" a="1"/>
  <c r="A97" i="6"/>
  <c r="A98" i="6" a="1"/>
  <c r="A98" i="6" s="1"/>
  <c r="A99" i="6" a="1"/>
  <c r="A99" i="6" s="1"/>
  <c r="A2" i="6" a="1"/>
  <c r="A2" i="6" s="1"/>
  <c r="A3" i="5" a="1"/>
  <c r="A3" i="5" s="1"/>
  <c r="A4" i="5" a="1"/>
  <c r="A4" i="5"/>
  <c r="A5" i="5" a="1"/>
  <c r="A5" i="5"/>
  <c r="A6" i="5" a="1"/>
  <c r="A6" i="5"/>
  <c r="A7" i="5" a="1"/>
  <c r="A7" i="5"/>
  <c r="A8" i="5" a="1"/>
  <c r="A8" i="5" s="1"/>
  <c r="A9" i="5" a="1"/>
  <c r="A9" i="5"/>
  <c r="A10" i="5" a="1"/>
  <c r="A10" i="5"/>
  <c r="A11" i="5" a="1"/>
  <c r="A11" i="5"/>
  <c r="A12" i="5" a="1"/>
  <c r="A12" i="5"/>
  <c r="A13" i="5" a="1"/>
  <c r="A13" i="5" s="1"/>
  <c r="A14" i="5" a="1"/>
  <c r="A14" i="5"/>
  <c r="A15" i="5" a="1"/>
  <c r="A15" i="5"/>
  <c r="A16" i="5" a="1"/>
  <c r="A16" i="5"/>
  <c r="A17" i="5" a="1"/>
  <c r="A17" i="5"/>
  <c r="A18" i="5" a="1"/>
  <c r="A18" i="5" s="1"/>
  <c r="A19" i="5" a="1"/>
  <c r="A19" i="5"/>
  <c r="A20" i="5" a="1"/>
  <c r="A20" i="5"/>
  <c r="A21" i="5" a="1"/>
  <c r="A21" i="5"/>
  <c r="A22" i="5" a="1"/>
  <c r="A22" i="5"/>
  <c r="A23" i="5" a="1"/>
  <c r="A23" i="5" s="1"/>
  <c r="A24" i="5" a="1"/>
  <c r="A24" i="5"/>
  <c r="A25" i="5" a="1"/>
  <c r="A25" i="5"/>
  <c r="A26" i="5" a="1"/>
  <c r="A26" i="5"/>
  <c r="A27" i="5" a="1"/>
  <c r="A27" i="5"/>
  <c r="A28" i="5" a="1"/>
  <c r="A28" i="5" s="1"/>
  <c r="A29" i="5" a="1"/>
  <c r="A29" i="5"/>
  <c r="A30" i="5" a="1"/>
  <c r="A30" i="5"/>
  <c r="A31" i="5" a="1"/>
  <c r="A31" i="5"/>
  <c r="A32" i="5" a="1"/>
  <c r="A32" i="5"/>
  <c r="A33" i="5" a="1"/>
  <c r="A33" i="5" s="1"/>
  <c r="A34" i="5" a="1"/>
  <c r="A34" i="5"/>
  <c r="A35" i="5" a="1"/>
  <c r="A35" i="5"/>
  <c r="A36" i="5" a="1"/>
  <c r="A36" i="5"/>
  <c r="A37" i="5" a="1"/>
  <c r="A37" i="5"/>
  <c r="A38" i="5" a="1"/>
  <c r="A38" i="5" s="1"/>
  <c r="A39" i="5" a="1"/>
  <c r="A39" i="5"/>
  <c r="A40" i="5" a="1"/>
  <c r="A40" i="5"/>
  <c r="A41" i="5" a="1"/>
  <c r="A41" i="5"/>
  <c r="A42" i="5" a="1"/>
  <c r="A42" i="5"/>
  <c r="A43" i="5" a="1"/>
  <c r="A43" i="5" s="1"/>
  <c r="A44" i="5" a="1"/>
  <c r="A44" i="5"/>
  <c r="A45" i="5" a="1"/>
  <c r="A45" i="5"/>
  <c r="A46" i="5" a="1"/>
  <c r="A46" i="5"/>
  <c r="A47" i="5" a="1"/>
  <c r="A47" i="5"/>
  <c r="A48" i="5" a="1"/>
  <c r="A48" i="5" s="1"/>
  <c r="A49" i="5" a="1"/>
  <c r="A49" i="5"/>
  <c r="A50" i="5" a="1"/>
  <c r="A50" i="5"/>
  <c r="A51" i="5" a="1"/>
  <c r="A51" i="5"/>
  <c r="A52" i="5" a="1"/>
  <c r="A52" i="5"/>
  <c r="A53" i="5" a="1"/>
  <c r="A53" i="5" s="1"/>
  <c r="A54" i="5" a="1"/>
  <c r="A54" i="5"/>
  <c r="A55" i="5" a="1"/>
  <c r="A55" i="5"/>
  <c r="A56" i="5" a="1"/>
  <c r="A56" i="5"/>
  <c r="A57" i="5" a="1"/>
  <c r="A57" i="5"/>
  <c r="A58" i="5" a="1"/>
  <c r="A58" i="5" s="1"/>
  <c r="A59" i="5" a="1"/>
  <c r="A59" i="5"/>
  <c r="A60" i="5" a="1"/>
  <c r="A60" i="5"/>
  <c r="A61" i="5" a="1"/>
  <c r="A61" i="5"/>
  <c r="A62" i="5" a="1"/>
  <c r="A62" i="5"/>
  <c r="A63" i="5" a="1"/>
  <c r="A63" i="5" s="1"/>
  <c r="A64" i="5" a="1"/>
  <c r="A64" i="5"/>
  <c r="A65" i="5" a="1"/>
  <c r="A65" i="5"/>
  <c r="A66" i="5" a="1"/>
  <c r="A66" i="5"/>
  <c r="A67" i="5" a="1"/>
  <c r="A67" i="5"/>
  <c r="A68" i="5" a="1"/>
  <c r="A68" i="5" s="1"/>
  <c r="A69" i="5" a="1"/>
  <c r="A69" i="5"/>
  <c r="A70" i="5" a="1"/>
  <c r="A70" i="5"/>
  <c r="A71" i="5" a="1"/>
  <c r="A71" i="5"/>
  <c r="A72" i="5" a="1"/>
  <c r="A72" i="5"/>
  <c r="A73" i="5" a="1"/>
  <c r="A73" i="5" s="1"/>
  <c r="A74" i="5" a="1"/>
  <c r="A74" i="5"/>
  <c r="A75" i="5" a="1"/>
  <c r="A75" i="5"/>
  <c r="A76" i="5" a="1"/>
  <c r="A76" i="5"/>
  <c r="A77" i="5" a="1"/>
  <c r="A77" i="5"/>
  <c r="A78" i="5" a="1"/>
  <c r="A78" i="5" s="1"/>
  <c r="A79" i="5" a="1"/>
  <c r="A79" i="5"/>
  <c r="A80" i="5" a="1"/>
  <c r="A80" i="5"/>
  <c r="A81" i="5" a="1"/>
  <c r="A81" i="5"/>
  <c r="A82" i="5" a="1"/>
  <c r="A82" i="5"/>
  <c r="A83" i="5" a="1"/>
  <c r="A83" i="5" s="1"/>
  <c r="A84" i="5" a="1"/>
  <c r="A84" i="5"/>
  <c r="A85" i="5" a="1"/>
  <c r="A85" i="5"/>
  <c r="A86" i="5" a="1"/>
  <c r="A86" i="5"/>
  <c r="A87" i="5" a="1"/>
  <c r="A87" i="5"/>
  <c r="A88" i="5" a="1"/>
  <c r="A88" i="5" s="1"/>
  <c r="A89" i="5" a="1"/>
  <c r="A89" i="5"/>
  <c r="A90" i="5" a="1"/>
  <c r="A90" i="5"/>
  <c r="A91" i="5" a="1"/>
  <c r="A91" i="5"/>
  <c r="A92" i="5" a="1"/>
  <c r="A92" i="5"/>
  <c r="A93" i="5" a="1"/>
  <c r="A93" i="5" s="1"/>
  <c r="A94" i="5" a="1"/>
  <c r="A94" i="5"/>
  <c r="A95" i="5" a="1"/>
  <c r="A95" i="5"/>
  <c r="A96" i="5" a="1"/>
  <c r="A96" i="5"/>
  <c r="A97" i="5" a="1"/>
  <c r="A97" i="5"/>
  <c r="A98" i="5" a="1"/>
  <c r="A98" i="5" s="1"/>
  <c r="A99" i="5" a="1"/>
  <c r="A99" i="5"/>
  <c r="A2" i="5" a="1"/>
  <c r="A2" i="5" s="1"/>
  <c r="A3" i="4" a="1"/>
  <c r="A3" i="4" s="1"/>
  <c r="A4" i="4" a="1"/>
  <c r="A4" i="4" s="1"/>
  <c r="A5" i="4" a="1"/>
  <c r="A5" i="4"/>
  <c r="A6" i="4" a="1"/>
  <c r="A6" i="4"/>
  <c r="A7" i="4" a="1"/>
  <c r="A7" i="4"/>
  <c r="A8" i="4" a="1"/>
  <c r="A8" i="4" s="1"/>
  <c r="A9" i="4" a="1"/>
  <c r="A9" i="4" s="1"/>
  <c r="A10" i="4" a="1"/>
  <c r="A10" i="4"/>
  <c r="A11" i="4" a="1"/>
  <c r="A11" i="4"/>
  <c r="A12" i="4" a="1"/>
  <c r="A12" i="4"/>
  <c r="A13" i="4" a="1"/>
  <c r="A13" i="4" s="1"/>
  <c r="A14" i="4" a="1"/>
  <c r="A14" i="4" s="1"/>
  <c r="A15" i="4" a="1"/>
  <c r="A15" i="4"/>
  <c r="A16" i="4" a="1"/>
  <c r="A16" i="4"/>
  <c r="A17" i="4" a="1"/>
  <c r="A17" i="4"/>
  <c r="A18" i="4" a="1"/>
  <c r="A18" i="4" s="1"/>
  <c r="A19" i="4" a="1"/>
  <c r="A19" i="4" s="1"/>
  <c r="A20" i="4" a="1"/>
  <c r="A20" i="4"/>
  <c r="A21" i="4" a="1"/>
  <c r="A21" i="4" s="1"/>
  <c r="A22" i="4" a="1"/>
  <c r="A22" i="4"/>
  <c r="A23" i="4" a="1"/>
  <c r="A23" i="4" s="1"/>
  <c r="A24" i="4" a="1"/>
  <c r="A24" i="4" s="1"/>
  <c r="A25" i="4" a="1"/>
  <c r="A25" i="4"/>
  <c r="A26" i="4" a="1"/>
  <c r="A26" i="4"/>
  <c r="A27" i="4" a="1"/>
  <c r="A27" i="4"/>
  <c r="A28" i="4" a="1"/>
  <c r="A28" i="4" s="1"/>
  <c r="A29" i="4" a="1"/>
  <c r="A29" i="4" s="1"/>
  <c r="A30" i="4" a="1"/>
  <c r="A30" i="4"/>
  <c r="A31" i="4" a="1"/>
  <c r="A31" i="4"/>
  <c r="A32" i="4" a="1"/>
  <c r="A32" i="4"/>
  <c r="A33" i="4" a="1"/>
  <c r="A33" i="4" s="1"/>
  <c r="A34" i="4" a="1"/>
  <c r="A34" i="4" s="1"/>
  <c r="A35" i="4" a="1"/>
  <c r="A35" i="4"/>
  <c r="A36" i="4" a="1"/>
  <c r="A36" i="4"/>
  <c r="A37" i="4" a="1"/>
  <c r="A37" i="4"/>
  <c r="A38" i="4" a="1"/>
  <c r="A38" i="4" s="1"/>
  <c r="A39" i="4" a="1"/>
  <c r="A39" i="4" s="1"/>
  <c r="A40" i="4" a="1"/>
  <c r="A40" i="4"/>
  <c r="A41" i="4" a="1"/>
  <c r="A41" i="4"/>
  <c r="A42" i="4" a="1"/>
  <c r="A42" i="4"/>
  <c r="A43" i="4" a="1"/>
  <c r="A43" i="4" s="1"/>
  <c r="A44" i="4" a="1"/>
  <c r="A44" i="4" s="1"/>
  <c r="A45" i="4" a="1"/>
  <c r="A45" i="4"/>
  <c r="A46" i="4" a="1"/>
  <c r="A46" i="4"/>
  <c r="A47" i="4" a="1"/>
  <c r="A47" i="4"/>
  <c r="A48" i="4" a="1"/>
  <c r="A48" i="4" s="1"/>
  <c r="A49" i="4" a="1"/>
  <c r="A49" i="4" s="1"/>
  <c r="A50" i="4" a="1"/>
  <c r="A50" i="4"/>
  <c r="A51" i="4" a="1"/>
  <c r="A51" i="4"/>
  <c r="A52" i="4" a="1"/>
  <c r="A52" i="4"/>
  <c r="A53" i="4" a="1"/>
  <c r="A53" i="4" s="1"/>
  <c r="A54" i="4" a="1"/>
  <c r="A54" i="4" s="1"/>
  <c r="A55" i="4" a="1"/>
  <c r="A55" i="4"/>
  <c r="A56" i="4" a="1"/>
  <c r="A56" i="4"/>
  <c r="A57" i="4" a="1"/>
  <c r="A57" i="4"/>
  <c r="A58" i="4" a="1"/>
  <c r="A58" i="4" s="1"/>
  <c r="A59" i="4" a="1"/>
  <c r="A59" i="4" s="1"/>
  <c r="A60" i="4" a="1"/>
  <c r="A60" i="4"/>
  <c r="A61" i="4" a="1"/>
  <c r="A61" i="4"/>
  <c r="A62" i="4" a="1"/>
  <c r="A62" i="4"/>
  <c r="A63" i="4" a="1"/>
  <c r="A63" i="4" s="1"/>
  <c r="A64" i="4" a="1"/>
  <c r="A64" i="4" s="1"/>
  <c r="A65" i="4" a="1"/>
  <c r="A65" i="4"/>
  <c r="A66" i="4" a="1"/>
  <c r="A66" i="4"/>
  <c r="A67" i="4" a="1"/>
  <c r="A67" i="4"/>
  <c r="A68" i="4" a="1"/>
  <c r="A68" i="4" s="1"/>
  <c r="A69" i="4" a="1"/>
  <c r="A69" i="4" s="1"/>
  <c r="A70" i="4" a="1"/>
  <c r="A70" i="4"/>
  <c r="A71" i="4" a="1"/>
  <c r="A71" i="4"/>
  <c r="A72" i="4" a="1"/>
  <c r="A72" i="4"/>
  <c r="A73" i="4" a="1"/>
  <c r="A73" i="4" s="1"/>
  <c r="A74" i="4" a="1"/>
  <c r="A74" i="4" s="1"/>
  <c r="A75" i="4" a="1"/>
  <c r="A75" i="4"/>
  <c r="A76" i="4" a="1"/>
  <c r="A76" i="4"/>
  <c r="A77" i="4" a="1"/>
  <c r="A77" i="4"/>
  <c r="A78" i="4" a="1"/>
  <c r="A78" i="4" s="1"/>
  <c r="A79" i="4" a="1"/>
  <c r="A79" i="4" s="1"/>
  <c r="A80" i="4" a="1"/>
  <c r="A80" i="4"/>
  <c r="A81" i="4" a="1"/>
  <c r="A81" i="4"/>
  <c r="A82" i="4" a="1"/>
  <c r="A82" i="4"/>
  <c r="A83" i="4" a="1"/>
  <c r="A83" i="4" s="1"/>
  <c r="A84" i="4" a="1"/>
  <c r="A84" i="4" s="1"/>
  <c r="A85" i="4" a="1"/>
  <c r="A85" i="4"/>
  <c r="A86" i="4" a="1"/>
  <c r="A86" i="4"/>
  <c r="A87" i="4" a="1"/>
  <c r="A87" i="4"/>
  <c r="A88" i="4" a="1"/>
  <c r="A88" i="4" s="1"/>
  <c r="A89" i="4" a="1"/>
  <c r="A89" i="4" s="1"/>
  <c r="A90" i="4" a="1"/>
  <c r="A90" i="4"/>
  <c r="A91" i="4" a="1"/>
  <c r="A91" i="4"/>
  <c r="A92" i="4" a="1"/>
  <c r="A92" i="4"/>
  <c r="A93" i="4" a="1"/>
  <c r="A93" i="4" s="1"/>
  <c r="A94" i="4" a="1"/>
  <c r="A94" i="4" s="1"/>
  <c r="A95" i="4" a="1"/>
  <c r="A95" i="4"/>
  <c r="A96" i="4" a="1"/>
  <c r="A96" i="4"/>
  <c r="A97" i="4" a="1"/>
  <c r="A97" i="4"/>
  <c r="A98" i="4" a="1"/>
  <c r="A98" i="4" s="1"/>
  <c r="A99" i="4" a="1"/>
  <c r="A99" i="4" s="1"/>
  <c r="A2" i="4" a="1"/>
  <c r="A2" i="4" s="1"/>
  <c r="A3" i="3" a="1"/>
  <c r="A3" i="3" s="1"/>
  <c r="A4" i="3" a="1"/>
  <c r="A4" i="3"/>
  <c r="A5" i="3" a="1"/>
  <c r="A5" i="3"/>
  <c r="A6" i="3" a="1"/>
  <c r="A6" i="3"/>
  <c r="A7" i="3" a="1"/>
  <c r="A7" i="3"/>
  <c r="A8" i="3" a="1"/>
  <c r="A8" i="3" s="1"/>
  <c r="A9" i="3" a="1"/>
  <c r="A9" i="3"/>
  <c r="A10" i="3" a="1"/>
  <c r="A10" i="3"/>
  <c r="A11" i="3" a="1"/>
  <c r="A11" i="3"/>
  <c r="A12" i="3" a="1"/>
  <c r="A12" i="3"/>
  <c r="A13" i="3" a="1"/>
  <c r="A13" i="3" s="1"/>
  <c r="A14" i="3" a="1"/>
  <c r="A14" i="3"/>
  <c r="A15" i="3" a="1"/>
  <c r="A15" i="3"/>
  <c r="A16" i="3" a="1"/>
  <c r="A16" i="3"/>
  <c r="A17" i="3" a="1"/>
  <c r="A17" i="3"/>
  <c r="A18" i="3" a="1"/>
  <c r="A18" i="3" s="1"/>
  <c r="A19" i="3" a="1"/>
  <c r="A19" i="3"/>
  <c r="A20" i="3" a="1"/>
  <c r="A20" i="3"/>
  <c r="A21" i="3" a="1"/>
  <c r="A21" i="3"/>
  <c r="A22" i="3" a="1"/>
  <c r="A22" i="3"/>
  <c r="A23" i="3" a="1"/>
  <c r="A23" i="3" s="1"/>
  <c r="A24" i="3" a="1"/>
  <c r="A24" i="3"/>
  <c r="A25" i="3" a="1"/>
  <c r="A25" i="3"/>
  <c r="A26" i="3" a="1"/>
  <c r="A26" i="3"/>
  <c r="A27" i="3" a="1"/>
  <c r="A27" i="3"/>
  <c r="A28" i="3" a="1"/>
  <c r="A28" i="3" s="1"/>
  <c r="A29" i="3" a="1"/>
  <c r="A29" i="3"/>
  <c r="A30" i="3" a="1"/>
  <c r="A30" i="3"/>
  <c r="A31" i="3" a="1"/>
  <c r="A31" i="3"/>
  <c r="A32" i="3" a="1"/>
  <c r="A32" i="3"/>
  <c r="A33" i="3" a="1"/>
  <c r="A33" i="3" s="1"/>
  <c r="A34" i="3" a="1"/>
  <c r="A34" i="3"/>
  <c r="A35" i="3" a="1"/>
  <c r="A35" i="3"/>
  <c r="A36" i="3" a="1"/>
  <c r="A36" i="3"/>
  <c r="A37" i="3" a="1"/>
  <c r="A37" i="3"/>
  <c r="A38" i="3" a="1"/>
  <c r="A38" i="3" s="1"/>
  <c r="A39" i="3" a="1"/>
  <c r="A39" i="3"/>
  <c r="A40" i="3" a="1"/>
  <c r="A40" i="3"/>
  <c r="A41" i="3" a="1"/>
  <c r="A41" i="3"/>
  <c r="A42" i="3" a="1"/>
  <c r="A42" i="3"/>
  <c r="A43" i="3" a="1"/>
  <c r="A43" i="3" s="1"/>
  <c r="A44" i="3" a="1"/>
  <c r="A44" i="3"/>
  <c r="A45" i="3" a="1"/>
  <c r="A45" i="3"/>
  <c r="A46" i="3" a="1"/>
  <c r="A46" i="3"/>
  <c r="A47" i="3" a="1"/>
  <c r="A47" i="3"/>
  <c r="A48" i="3" a="1"/>
  <c r="A48" i="3" s="1"/>
  <c r="A49" i="3" a="1"/>
  <c r="A49" i="3"/>
  <c r="A50" i="3" a="1"/>
  <c r="A50" i="3"/>
  <c r="A51" i="3" a="1"/>
  <c r="A51" i="3"/>
  <c r="A52" i="3" a="1"/>
  <c r="A52" i="3"/>
  <c r="A53" i="3" a="1"/>
  <c r="A53" i="3" s="1"/>
  <c r="A54" i="3" a="1"/>
  <c r="A54" i="3"/>
  <c r="A55" i="3" a="1"/>
  <c r="A55" i="3"/>
  <c r="A56" i="3" a="1"/>
  <c r="A56" i="3"/>
  <c r="A57" i="3" a="1"/>
  <c r="A57" i="3"/>
  <c r="A58" i="3" a="1"/>
  <c r="A58" i="3" s="1"/>
  <c r="A59" i="3" a="1"/>
  <c r="A59" i="3"/>
  <c r="A60" i="3" a="1"/>
  <c r="A60" i="3"/>
  <c r="A61" i="3" a="1"/>
  <c r="A61" i="3"/>
  <c r="A62" i="3" a="1"/>
  <c r="A62" i="3"/>
  <c r="A63" i="3" a="1"/>
  <c r="A63" i="3" s="1"/>
  <c r="A64" i="3" a="1"/>
  <c r="A64" i="3"/>
  <c r="A65" i="3" a="1"/>
  <c r="A65" i="3"/>
  <c r="A66" i="3" a="1"/>
  <c r="A66" i="3"/>
  <c r="A67" i="3" a="1"/>
  <c r="A67" i="3"/>
  <c r="A68" i="3" a="1"/>
  <c r="A68" i="3" s="1"/>
  <c r="A69" i="3" a="1"/>
  <c r="A69" i="3"/>
  <c r="A70" i="3" a="1"/>
  <c r="A70" i="3"/>
  <c r="A71" i="3" a="1"/>
  <c r="A71" i="3"/>
  <c r="A72" i="3" a="1"/>
  <c r="A72" i="3"/>
  <c r="A73" i="3" a="1"/>
  <c r="A73" i="3" s="1"/>
  <c r="A74" i="3" a="1"/>
  <c r="A74" i="3"/>
  <c r="A75" i="3" a="1"/>
  <c r="A75" i="3"/>
  <c r="A76" i="3" a="1"/>
  <c r="A76" i="3"/>
  <c r="A77" i="3" a="1"/>
  <c r="A77" i="3"/>
  <c r="A78" i="3" a="1"/>
  <c r="A78" i="3" s="1"/>
  <c r="A79" i="3" a="1"/>
  <c r="A79" i="3"/>
  <c r="A80" i="3" a="1"/>
  <c r="A80" i="3"/>
  <c r="A81" i="3" a="1"/>
  <c r="A81" i="3"/>
  <c r="A82" i="3" a="1"/>
  <c r="A82" i="3"/>
  <c r="A83" i="3" a="1"/>
  <c r="A83" i="3" s="1"/>
  <c r="A84" i="3" a="1"/>
  <c r="A84" i="3"/>
  <c r="A85" i="3" a="1"/>
  <c r="A85" i="3" s="1"/>
  <c r="A86" i="3" a="1"/>
  <c r="A86" i="3"/>
  <c r="A87" i="3" a="1"/>
  <c r="A87" i="3"/>
  <c r="A88" i="3" a="1"/>
  <c r="A88" i="3" s="1"/>
  <c r="A89" i="3" a="1"/>
  <c r="A89" i="3"/>
  <c r="A90" i="3" a="1"/>
  <c r="A90" i="3"/>
  <c r="A91" i="3" a="1"/>
  <c r="A91" i="3"/>
  <c r="A92" i="3" a="1"/>
  <c r="A92" i="3"/>
  <c r="A93" i="3" a="1"/>
  <c r="A93" i="3" s="1"/>
  <c r="A94" i="3" a="1"/>
  <c r="A94" i="3"/>
  <c r="A95" i="3" a="1"/>
  <c r="A95" i="3"/>
  <c r="A2" i="3" a="1"/>
  <c r="A2" i="3" s="1"/>
  <c r="A3" i="2" a="1"/>
  <c r="A3" i="2" s="1"/>
  <c r="A4" i="2" a="1"/>
  <c r="A4" i="2" s="1"/>
  <c r="A5" i="2" a="1"/>
  <c r="A5" i="2"/>
  <c r="A6" i="2" a="1"/>
  <c r="A6" i="2"/>
  <c r="A7" i="2" a="1"/>
  <c r="A7" i="2"/>
  <c r="A8" i="2" a="1"/>
  <c r="A8" i="2"/>
  <c r="A9" i="2" a="1"/>
  <c r="A9" i="2" s="1"/>
  <c r="A10" i="2" a="1"/>
  <c r="A10" i="2"/>
  <c r="A11" i="2" a="1"/>
  <c r="A11" i="2"/>
  <c r="A12" i="2" a="1"/>
  <c r="A12" i="2"/>
  <c r="A13" i="2" a="1"/>
  <c r="A13" i="2"/>
  <c r="A14" i="2" a="1"/>
  <c r="A14" i="2" s="1"/>
  <c r="A15" i="2" a="1"/>
  <c r="A15" i="2" s="1"/>
  <c r="A16" i="2" a="1"/>
  <c r="A16" i="2"/>
  <c r="A17" i="2" a="1"/>
  <c r="A17" i="2"/>
  <c r="A18" i="2" a="1"/>
  <c r="A18" i="2"/>
  <c r="A19" i="2" a="1"/>
  <c r="A19" i="2" s="1"/>
  <c r="A20" i="2" a="1"/>
  <c r="A20" i="2"/>
  <c r="A21" i="2" a="1"/>
  <c r="A21" i="2"/>
  <c r="A22" i="2" a="1"/>
  <c r="A22" i="2"/>
  <c r="A23" i="2" a="1"/>
  <c r="A23" i="2"/>
  <c r="A24" i="2" a="1"/>
  <c r="A24" i="2" s="1"/>
  <c r="A25" i="2" a="1"/>
  <c r="A25" i="2"/>
  <c r="A26" i="2" a="1"/>
  <c r="A26" i="2"/>
  <c r="A27" i="2" a="1"/>
  <c r="A27" i="2"/>
  <c r="A28" i="2" a="1"/>
  <c r="A28" i="2"/>
  <c r="A29" i="2" a="1"/>
  <c r="A29" i="2" s="1"/>
  <c r="A30" i="2" a="1"/>
  <c r="A30" i="2"/>
  <c r="A31" i="2" a="1"/>
  <c r="A31" i="2"/>
  <c r="A32" i="2" a="1"/>
  <c r="A32" i="2"/>
  <c r="A33" i="2" a="1"/>
  <c r="A33" i="2"/>
  <c r="A34" i="2" a="1"/>
  <c r="A34" i="2" s="1"/>
  <c r="A35" i="2" a="1"/>
  <c r="A35" i="2" s="1"/>
  <c r="A36" i="2" a="1"/>
  <c r="A36" i="2"/>
  <c r="A37" i="2" a="1"/>
  <c r="A37" i="2"/>
  <c r="A38" i="2" a="1"/>
  <c r="A38" i="2"/>
  <c r="A39" i="2" a="1"/>
  <c r="A39" i="2" s="1"/>
  <c r="A40" i="2" a="1"/>
  <c r="A40" i="2"/>
  <c r="A41" i="2" a="1"/>
  <c r="A41" i="2"/>
  <c r="A42" i="2" a="1"/>
  <c r="A42" i="2"/>
  <c r="A43" i="2" a="1"/>
  <c r="A43" i="2" s="1"/>
  <c r="A44" i="2" a="1"/>
  <c r="A44" i="2" s="1"/>
  <c r="A45" i="2" a="1"/>
  <c r="A45" i="2"/>
  <c r="A46" i="2" a="1"/>
  <c r="A46" i="2"/>
  <c r="A47" i="2" a="1"/>
  <c r="A47" i="2"/>
  <c r="A48" i="2" a="1"/>
  <c r="A48" i="2" s="1"/>
  <c r="A49" i="2" a="1"/>
  <c r="A49" i="2" s="1"/>
  <c r="A50" i="2" a="1"/>
  <c r="A50" i="2"/>
  <c r="A51" i="2" a="1"/>
  <c r="A51" i="2"/>
  <c r="A52" i="2" a="1"/>
  <c r="A52" i="2"/>
  <c r="A53" i="2" a="1"/>
  <c r="A53" i="2" s="1"/>
  <c r="A54" i="2" a="1"/>
  <c r="A54" i="2" s="1"/>
  <c r="A55" i="2" a="1"/>
  <c r="A55" i="2" s="1"/>
  <c r="A56" i="2" a="1"/>
  <c r="A56" i="2"/>
  <c r="A57" i="2" a="1"/>
  <c r="A57" i="2"/>
  <c r="A58" i="2" a="1"/>
  <c r="A58" i="2" s="1"/>
  <c r="A59" i="2" a="1"/>
  <c r="A59" i="2" s="1"/>
  <c r="A60" i="2" a="1"/>
  <c r="A60" i="2" s="1"/>
  <c r="A61" i="2" a="1"/>
  <c r="A61" i="2"/>
  <c r="A62" i="2" a="1"/>
  <c r="A62" i="2"/>
  <c r="A63" i="2" a="1"/>
  <c r="A63" i="2" s="1"/>
  <c r="A64" i="2" a="1"/>
  <c r="A64" i="2" s="1"/>
  <c r="A65" i="2" a="1"/>
  <c r="A65" i="2" s="1"/>
  <c r="A66" i="2" a="1"/>
  <c r="A66" i="2"/>
  <c r="A67" i="2" a="1"/>
  <c r="A67" i="2"/>
  <c r="A68" i="2" a="1"/>
  <c r="A68" i="2" s="1"/>
  <c r="A69" i="2" a="1"/>
  <c r="A69" i="2" s="1"/>
  <c r="A70" i="2" a="1"/>
  <c r="A70" i="2" s="1"/>
  <c r="A71" i="2" a="1"/>
  <c r="A71" i="2"/>
  <c r="A72" i="2" a="1"/>
  <c r="A72" i="2"/>
  <c r="A73" i="2" a="1"/>
  <c r="A73" i="2" s="1"/>
  <c r="A74" i="2" a="1"/>
  <c r="A74" i="2" s="1"/>
  <c r="A75" i="2" a="1"/>
  <c r="A75" i="2" s="1"/>
  <c r="A76" i="2" a="1"/>
  <c r="A76" i="2"/>
  <c r="A77" i="2" a="1"/>
  <c r="A77" i="2"/>
  <c r="A78" i="2" a="1"/>
  <c r="A78" i="2" s="1"/>
  <c r="A79" i="2" a="1"/>
  <c r="A79" i="2" s="1"/>
  <c r="A80" i="2" a="1"/>
  <c r="A80" i="2" s="1"/>
  <c r="A81" i="2" a="1"/>
  <c r="A81" i="2"/>
  <c r="A82" i="2" a="1"/>
  <c r="A82" i="2"/>
  <c r="A83" i="2" a="1"/>
  <c r="A83" i="2" s="1"/>
  <c r="A84" i="2" a="1"/>
  <c r="A84" i="2" s="1"/>
  <c r="A85" i="2" a="1"/>
  <c r="A85" i="2" s="1"/>
  <c r="A86" i="2" a="1"/>
  <c r="A86" i="2"/>
  <c r="A87" i="2" a="1"/>
  <c r="A87" i="2"/>
  <c r="A88" i="2" a="1"/>
  <c r="A88" i="2" s="1"/>
  <c r="A89" i="2" a="1"/>
  <c r="A89" i="2" s="1"/>
  <c r="A90" i="2" a="1"/>
  <c r="A90" i="2" s="1"/>
  <c r="A91" i="2" a="1"/>
  <c r="A91" i="2"/>
  <c r="A92" i="2" a="1"/>
  <c r="A92" i="2"/>
  <c r="A93" i="2" a="1"/>
  <c r="A93" i="2" s="1"/>
  <c r="A94" i="2" a="1"/>
  <c r="A94" i="2" s="1"/>
  <c r="A95" i="2" a="1"/>
  <c r="A95" i="2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<sst xmlns="http://schemas.openxmlformats.org/spreadsheetml/2006/main" count="3030" uniqueCount="1377">
  <si>
    <t>Arsenal</t>
  </si>
  <si>
    <t>Aston Villa</t>
  </si>
  <si>
    <t>Blackburn Rovers</t>
  </si>
  <si>
    <t>Blackburn</t>
  </si>
  <si>
    <t>Chelsea</t>
  </si>
  <si>
    <t>Coventry City</t>
  </si>
  <si>
    <t>Everton</t>
  </si>
  <si>
    <t>Ipswich Town</t>
  </si>
  <si>
    <t>Leeds United</t>
  </si>
  <si>
    <t>Liverpool</t>
  </si>
  <si>
    <t>Manchester City</t>
  </si>
  <si>
    <t>Manchester United</t>
  </si>
  <si>
    <t>Newcastle United</t>
  </si>
  <si>
    <t>Norwich City</t>
  </si>
  <si>
    <t>Oldham Athletic</t>
  </si>
  <si>
    <t>Queens Park Rangers</t>
  </si>
  <si>
    <t>Sheffield United</t>
  </si>
  <si>
    <t>Sheffield Wednesday</t>
  </si>
  <si>
    <t>Southampton</t>
  </si>
  <si>
    <t>Swindon Town</t>
  </si>
  <si>
    <t>Tottenham Hotspur</t>
  </si>
  <si>
    <t>West Ham United</t>
  </si>
  <si>
    <t>Wimbledon</t>
  </si>
  <si>
    <t>Barcelona</t>
  </si>
  <si>
    <t>Real Madrid</t>
  </si>
  <si>
    <t>Atlético Madrid</t>
  </si>
  <si>
    <t>Valencia</t>
  </si>
  <si>
    <t>Sevilla</t>
  </si>
  <si>
    <t>Athletic Bilbao</t>
  </si>
  <si>
    <t>Deportivo de La Coruña</t>
  </si>
  <si>
    <t>Real Zaragoza</t>
  </si>
  <si>
    <t>Celta de Vigo</t>
  </si>
  <si>
    <t>Real Sociedad</t>
  </si>
  <si>
    <t>Real Oviedo</t>
  </si>
  <si>
    <t>Valladolid</t>
  </si>
  <si>
    <t>Sporting de Gijón</t>
  </si>
  <si>
    <t>Tenerife</t>
  </si>
  <si>
    <t>Racing de Santander</t>
  </si>
  <si>
    <t>Osasuna</t>
  </si>
  <si>
    <t>Albacete</t>
  </si>
  <si>
    <t>Rayo Vallecano</t>
  </si>
  <si>
    <t>Lleida</t>
  </si>
  <si>
    <t>Logroñés</t>
  </si>
  <si>
    <t>Atalanta</t>
  </si>
  <si>
    <t>Cagliari</t>
  </si>
  <si>
    <t>Cremonese</t>
  </si>
  <si>
    <t>Foggia</t>
  </si>
  <si>
    <t>Genoa</t>
  </si>
  <si>
    <t>Internazionale</t>
  </si>
  <si>
    <t>Juventus</t>
  </si>
  <si>
    <t>Lazio</t>
  </si>
  <si>
    <t>Lecce</t>
  </si>
  <si>
    <t>Milan</t>
  </si>
  <si>
    <t>Napoli</t>
  </si>
  <si>
    <t>Parma</t>
  </si>
  <si>
    <t>Piacenza</t>
  </si>
  <si>
    <t>Reggiana</t>
  </si>
  <si>
    <t>Roma</t>
  </si>
  <si>
    <t>Sampdoria</t>
  </si>
  <si>
    <t>Torino</t>
  </si>
  <si>
    <t>Udinese</t>
  </si>
  <si>
    <t>Bayer Leverkusen</t>
  </si>
  <si>
    <t>Leverkusen</t>
  </si>
  <si>
    <t>Bayern Munich</t>
  </si>
  <si>
    <t>Borussia Dortmund</t>
  </si>
  <si>
    <t>Dortmund</t>
  </si>
  <si>
    <t>Borussia Mönchengladbach</t>
  </si>
  <si>
    <t>Dynamo Dresden</t>
  </si>
  <si>
    <t>Eintracht Frankfurt</t>
  </si>
  <si>
    <t>SC Freiburg</t>
  </si>
  <si>
    <t>Freiburg</t>
  </si>
  <si>
    <t>Hamburger SV</t>
  </si>
  <si>
    <t>1. FC Kaiserslautern</t>
  </si>
  <si>
    <t>Kaiserslautern</t>
  </si>
  <si>
    <t>Karlsruher SC</t>
  </si>
  <si>
    <t>1. FC Köln</t>
  </si>
  <si>
    <t>VfB Leipzig</t>
  </si>
  <si>
    <t>MSV Duisburg</t>
  </si>
  <si>
    <t>1. FC Nürnberg</t>
  </si>
  <si>
    <t>FC Schalke 04</t>
  </si>
  <si>
    <t>VfB Stuttgart</t>
  </si>
  <si>
    <t>Stuttgart</t>
  </si>
  <si>
    <t>SG Wattenscheid 09</t>
  </si>
  <si>
    <t>Bochum</t>
  </si>
  <si>
    <t>Werder Bremen</t>
  </si>
  <si>
    <t>Bordeaux</t>
  </si>
  <si>
    <t>Nantes</t>
  </si>
  <si>
    <t>Cannes</t>
  </si>
  <si>
    <t>Montpellier</t>
  </si>
  <si>
    <t>Lyon</t>
  </si>
  <si>
    <t>Monaco</t>
  </si>
  <si>
    <t>Lens</t>
  </si>
  <si>
    <t>Saint-Étienne</t>
  </si>
  <si>
    <t>Metz</t>
  </si>
  <si>
    <t>Strasbourg</t>
  </si>
  <si>
    <t>Sochaux</t>
  </si>
  <si>
    <t>Lille</t>
  </si>
  <si>
    <t>Caen</t>
  </si>
  <si>
    <t>Le Havre</t>
  </si>
  <si>
    <t>Martigues</t>
  </si>
  <si>
    <t>Paris Saint-Germain</t>
  </si>
  <si>
    <t>Marseille</t>
  </si>
  <si>
    <t>Auxerre</t>
  </si>
  <si>
    <t>Toulouse</t>
  </si>
  <si>
    <t>Angers</t>
  </si>
  <si>
    <t>Barnsley</t>
  </si>
  <si>
    <t>Crystal Palace</t>
  </si>
  <si>
    <t>Derby County</t>
  </si>
  <si>
    <t>Leicester City</t>
  </si>
  <si>
    <t>Betis</t>
  </si>
  <si>
    <t>Celta Vigo</t>
  </si>
  <si>
    <t>Compostela</t>
  </si>
  <si>
    <t>Espanyol</t>
  </si>
  <si>
    <t>Mérida</t>
  </si>
  <si>
    <t>Mallorca</t>
  </si>
  <si>
    <t>Oviedo</t>
  </si>
  <si>
    <t>Salamanca</t>
  </si>
  <si>
    <t>Sporting Gijón</t>
  </si>
  <si>
    <t>Zaragoza</t>
  </si>
  <si>
    <t>Bari</t>
  </si>
  <si>
    <t>Bologna</t>
  </si>
  <si>
    <t>Brescia</t>
  </si>
  <si>
    <t>Empoli</t>
  </si>
  <si>
    <t>Fiorentina</t>
  </si>
  <si>
    <t>Vicenza</t>
  </si>
  <si>
    <t>Schalke 04</t>
  </si>
  <si>
    <t>Hertha BSC</t>
  </si>
  <si>
    <t>Hansa Rostock</t>
  </si>
  <si>
    <t>Bastia</t>
  </si>
  <si>
    <t>Châteauroux</t>
  </si>
  <si>
    <t>Guingamp</t>
  </si>
  <si>
    <t>Rennes</t>
  </si>
  <si>
    <t>Squad</t>
  </si>
  <si>
    <t>Country</t>
  </si>
  <si>
    <t>LgRk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</si>
  <si>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</si>
  <si>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</si>
  <si>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</si>
  <si>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</si>
  <si>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</si>
  <si>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</si>
  <si>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</si>
  <si>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</si>
  <si>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</si>
  <si>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</si>
  <si>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</si>
  <si>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</si>
  <si>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it ITA</t>
  </si>
  <si>
    <t>Alessandro Del Piero - 21</t>
  </si>
  <si>
    <t>Angelo Peruzzi</t>
  </si>
  <si>
    <t>eng ENG</t>
  </si>
  <si>
    <t>Dennis Bergkamp - 16</t>
  </si>
  <si>
    <t>David Seaman</t>
  </si>
  <si>
    <t>Andy Cole - 15</t>
  </si>
  <si>
    <t>Peter Schmeichel</t>
  </si>
  <si>
    <t>Ronaldo - 25</t>
  </si>
  <si>
    <t>Gianluca Pagliuca</t>
  </si>
  <si>
    <t>fr FRA</t>
  </si>
  <si>
    <t>Anto Drobnjak - 14</t>
  </si>
  <si>
    <t>Guillaume Warmuz</t>
  </si>
  <si>
    <t>de GER</t>
  </si>
  <si>
    <t>Olaf Marschall - 21</t>
  </si>
  <si>
    <t>Andreas Reinke</t>
  </si>
  <si>
    <t>Bruno Rodriguez - 13</t>
  </si>
  <si>
    <t>Lionel Letizi</t>
  </si>
  <si>
    <t>es ESP</t>
  </si>
  <si>
    <t>Rivaldo - 19</t>
  </si>
  <si>
    <t>Ruud Hesp</t>
  </si>
  <si>
    <t>Carsten Jancker - 13</t>
  </si>
  <si>
    <t>Oliver Kahn</t>
  </si>
  <si>
    <t>Oliver Bierhoff - 27</t>
  </si>
  <si>
    <t>Luigi Turci</t>
  </si>
  <si>
    <t>Abel Balbo - 14</t>
  </si>
  <si>
    <t>Michael Konsel</t>
  </si>
  <si>
    <t>David Trezeguet - 18</t>
  </si>
  <si>
    <t>Fabien Barthez</t>
  </si>
  <si>
    <t>Michael Owen - 18</t>
  </si>
  <si>
    <t>David James</t>
  </si>
  <si>
    <t>Joseba Etxeberria - 11</t>
  </si>
  <si>
    <t>Imanol Etxeberria</t>
  </si>
  <si>
    <t>Gabriel Batistuta - 21</t>
  </si>
  <si>
    <t>Francesco Toldo</t>
  </si>
  <si>
    <t>Laurent Blanc - 11</t>
  </si>
  <si>
    <t>Andreas Köpke</t>
  </si>
  <si>
    <t>Hernán Crespo - 12</t>
  </si>
  <si>
    <t>Gianluigi Buffon</t>
  </si>
  <si>
    <t>Tore André Flo, Gianluca Vialli - 11</t>
  </si>
  <si>
    <t>Ed de Goey</t>
  </si>
  <si>
    <t>Darko Kovačević - 17</t>
  </si>
  <si>
    <t>Alberto</t>
  </si>
  <si>
    <t>Fernando Morientes - 12</t>
  </si>
  <si>
    <t>Santiago Cañizares</t>
  </si>
  <si>
    <t>Pavel Nedvěd - 11</t>
  </si>
  <si>
    <t>Luca Marchegiani</t>
  </si>
  <si>
    <t>Lilian Laslandes - 14</t>
  </si>
  <si>
    <t>Ulrich Ramé</t>
  </si>
  <si>
    <t>Ulf Kirsten - 22</t>
  </si>
  <si>
    <t>Dirk Heinen</t>
  </si>
  <si>
    <t>Christian Vieri - 24</t>
  </si>
  <si>
    <t>José Molina</t>
  </si>
  <si>
    <t>Gabriel Amato - 13</t>
  </si>
  <si>
    <t>Carlos Roa</t>
  </si>
  <si>
    <t>Juan Sánchez - 9</t>
  </si>
  <si>
    <t>Richard Dutruel</t>
  </si>
  <si>
    <t>Alain Caveglia - 10</t>
  </si>
  <si>
    <t>Grégory Coupet</t>
  </si>
  <si>
    <t>Jimmy Floyd Hasselbaink - 16</t>
  </si>
  <si>
    <t>Nigel Martyn</t>
  </si>
  <si>
    <t>Alfonso Pérez - 10</t>
  </si>
  <si>
    <t>Toni Prats</t>
  </si>
  <si>
    <t>Fredi Bobic - 13</t>
  </si>
  <si>
    <t>Franz Wohlfahrt</t>
  </si>
  <si>
    <t>Marc Wilmots - 7</t>
  </si>
  <si>
    <t>Jens Lehmann</t>
  </si>
  <si>
    <t>Chris Sutton - 18</t>
  </si>
  <si>
    <t>Tim Flowers</t>
  </si>
  <si>
    <t>Stéphane Guivarc'h - 21</t>
  </si>
  <si>
    <t>Lionel Charbonnier</t>
  </si>
  <si>
    <t>Sergej Barbarez - 11</t>
  </si>
  <si>
    <t>Martin Pieckenhagen</t>
  </si>
  <si>
    <t>Dwight Yorke - 12</t>
  </si>
  <si>
    <t>Mark Bosnich</t>
  </si>
  <si>
    <t>Marco Simone - 13</t>
  </si>
  <si>
    <t>Christophe Revault</t>
  </si>
  <si>
    <t>Ardian Kozniku, Ermin Šiljak - 5</t>
  </si>
  <si>
    <t>Éric Durand</t>
  </si>
  <si>
    <t>John Hartson - 15</t>
  </si>
  <si>
    <t>Craig Forrest, Luděk Mikloško</t>
  </si>
  <si>
    <t>Marco Bode - 9</t>
  </si>
  <si>
    <t>Oliver Reck</t>
  </si>
  <si>
    <t>Adrian Ilie, Claudio López - 12</t>
  </si>
  <si>
    <t>Andoni Zubizarreta</t>
  </si>
  <si>
    <t>Paulo Wanchope - 13</t>
  </si>
  <si>
    <t>Mart Poom</t>
  </si>
  <si>
    <t>Roberto Baggio - 22</t>
  </si>
  <si>
    <t>Giorgio Sterchele</t>
  </si>
  <si>
    <t>Vincenzo Montella - 20</t>
  </si>
  <si>
    <t>Fabrizio Ferron</t>
  </si>
  <si>
    <t>Juan Esnáider - 13</t>
  </si>
  <si>
    <t>Toni Jiménez</t>
  </si>
  <si>
    <t>Emile Heskey - 10</t>
  </si>
  <si>
    <t>Kasey Keller</t>
  </si>
  <si>
    <t>Dion Dublin - 18</t>
  </si>
  <si>
    <t>Steve Ogrizovic</t>
  </si>
  <si>
    <t>Alen Peternac - 13</t>
  </si>
  <si>
    <t>César Sánchez</t>
  </si>
  <si>
    <t>Cyrille Pouget - 7</t>
  </si>
  <si>
    <t>Stéphane Cassard</t>
  </si>
  <si>
    <t>Bachirou Salou - 10</t>
  </si>
  <si>
    <t>Thomas Gill</t>
  </si>
  <si>
    <t>Djalminha - 8</t>
  </si>
  <si>
    <t>Jacques Songo'o</t>
  </si>
  <si>
    <t>George Weah - 10</t>
  </si>
  <si>
    <t>Sebastiano Rossi, Massimo Taibi</t>
  </si>
  <si>
    <t>Hasan Salihamidžić - 10</t>
  </si>
  <si>
    <t>Hans-Jörg Butt</t>
  </si>
  <si>
    <t>Stéphane Chapuisat - 14</t>
  </si>
  <si>
    <t>Stefan Klos</t>
  </si>
  <si>
    <t>Matt Le Tissier, Egil Østenstad - 11</t>
  </si>
  <si>
    <t>Paul Jones</t>
  </si>
  <si>
    <t>Ander Garitano - 7</t>
  </si>
  <si>
    <t>Juanmi</t>
  </si>
  <si>
    <t>Michael Preetz - 14</t>
  </si>
  <si>
    <t>Gábor Király</t>
  </si>
  <si>
    <t>Jocelyn Gourvennec - 12</t>
  </si>
  <si>
    <t>Mickaël Landreau</t>
  </si>
  <si>
    <t>Peter Peschel - 6</t>
  </si>
  <si>
    <t>Thomas Ernst</t>
  </si>
  <si>
    <t>Ibrahima Bakayoko - 7</t>
  </si>
  <si>
    <t>Bruno Martini</t>
  </si>
  <si>
    <t>Bernhard Winkler - 13</t>
  </si>
  <si>
    <t>Bernd Meier</t>
  </si>
  <si>
    <t>Pauleta - 15</t>
  </si>
  <si>
    <t>Bogdan Stelea</t>
  </si>
  <si>
    <t>Fernando Correa - 15</t>
  </si>
  <si>
    <t>José María Ceballos</t>
  </si>
  <si>
    <t>Meho Kodro - 12</t>
  </si>
  <si>
    <t>Bengt Andersson</t>
  </si>
  <si>
    <t>John Barnes - 6</t>
  </si>
  <si>
    <t>Shay Given</t>
  </si>
  <si>
    <t>Lyuboslav Penev - 16</t>
  </si>
  <si>
    <t>René Ponk</t>
  </si>
  <si>
    <t>Jürgen Klinsmann - 9</t>
  </si>
  <si>
    <t>Ian Walker</t>
  </si>
  <si>
    <t>Efan Ekoku, Jason Euell... - 4</t>
  </si>
  <si>
    <t>Neil Sullivan</t>
  </si>
  <si>
    <t>Paolo Di Canio - 12</t>
  </si>
  <si>
    <t>Kevin Pressman</t>
  </si>
  <si>
    <t>Roy Präger - 13</t>
  </si>
  <si>
    <t>Uwe Zimmermann</t>
  </si>
  <si>
    <t>Jörgen Pettersson - 13</t>
  </si>
  <si>
    <t>Uwe Kamps</t>
  </si>
  <si>
    <t>Thomas Häßler - 12</t>
  </si>
  <si>
    <t>Claus Reitmaier</t>
  </si>
  <si>
    <t>Phil Masinga - 9</t>
  </si>
  <si>
    <t>Francesco Mancini</t>
  </si>
  <si>
    <t>Pascal Nouma, Gérald Baticle - 8</t>
  </si>
  <si>
    <t>Alexander Vencel</t>
  </si>
  <si>
    <t>Carmine Esposito - 14</t>
  </si>
  <si>
    <t>Marco Roccati</t>
  </si>
  <si>
    <t>Roberto Murgita, Davide Dionigi... - 5</t>
  </si>
  <si>
    <t>Matteo Sereni</t>
  </si>
  <si>
    <t>Nicolas Goussé - 9</t>
  </si>
  <si>
    <t>Tony Heurtebis</t>
  </si>
  <si>
    <t>Toni Polster - 13</t>
  </si>
  <si>
    <t>Andreas Menger</t>
  </si>
  <si>
    <t>Joël Tiéhi - 10</t>
  </si>
  <si>
    <t>Teddy Richert</t>
  </si>
  <si>
    <t>Pasquale Luiso - 8</t>
  </si>
  <si>
    <t>Pierluigi Brivio</t>
  </si>
  <si>
    <t>Duncan Ferguson - 11</t>
  </si>
  <si>
    <t>Thomas Myhre</t>
  </si>
  <si>
    <t>Juan González, Roberto Pompei... - 9</t>
  </si>
  <si>
    <t>Esteban</t>
  </si>
  <si>
    <t>Nathan Blake - 12</t>
  </si>
  <si>
    <t>Keith Branagan</t>
  </si>
  <si>
    <t>Daniel Moreira - 8</t>
  </si>
  <si>
    <t>Ronald Thomas</t>
  </si>
  <si>
    <t>Dario Hübner - 16</t>
  </si>
  <si>
    <t>Giovanni Cervone</t>
  </si>
  <si>
    <t>José Sinval de Campos, Juan Sabas - 7</t>
  </si>
  <si>
    <t>Carlos Navarro Montoya</t>
  </si>
  <si>
    <t>Stefan Kuntz - 11</t>
  </si>
  <si>
    <t>Georg Koch</t>
  </si>
  <si>
    <t>Nicola Caccia - 6</t>
  </si>
  <si>
    <t>Alberto Fontana</t>
  </si>
  <si>
    <t>Neil Redfearn - 10</t>
  </si>
  <si>
    <t>David Watson</t>
  </si>
  <si>
    <t>Laurent Dufresne - 6</t>
  </si>
  <si>
    <t>Frédéric Gueguen</t>
  </si>
  <si>
    <t>Neil Shipperley - 7</t>
  </si>
  <si>
    <t>Kevin Miller</t>
  </si>
  <si>
    <t>Marco Grassi, Gerald Vanenburg - 6</t>
  </si>
  <si>
    <t>Sébastien Frey</t>
  </si>
  <si>
    <t>Francesco Palmieri - 10</t>
  </si>
  <si>
    <t>Fabrizio Lorieri</t>
  </si>
  <si>
    <t>Claudio Bellucci - 10</t>
  </si>
  <si>
    <t>Giuseppe Taglialatela</t>
  </si>
  <si>
    <t>Dmitri Cheryshev - 6</t>
  </si>
  <si>
    <t>Juan Carlos Ablanedo</t>
  </si>
  <si>
    <t>Manchester Utd</t>
  </si>
  <si>
    <t>Inter</t>
  </si>
  <si>
    <t>Athletic Club</t>
  </si>
  <si>
    <t>Real Betis</t>
  </si>
  <si>
    <t>Paris S-G</t>
  </si>
  <si>
    <t>West Ham</t>
  </si>
  <si>
    <t>Dep La Coruña</t>
  </si>
  <si>
    <t>1860 Munich</t>
  </si>
  <si>
    <t>Racing Sant</t>
  </si>
  <si>
    <t>Newcastle Utd</t>
  </si>
  <si>
    <t>Tottenham</t>
  </si>
  <si>
    <t>Sheffield Weds</t>
  </si>
  <si>
    <t>Wolfsburg</t>
  </si>
  <si>
    <t>Gladbach</t>
  </si>
  <si>
    <t>Karlsruher</t>
  </si>
  <si>
    <t>Köln</t>
  </si>
  <si>
    <t>Bolton</t>
  </si>
  <si>
    <t>Arminia</t>
  </si>
  <si>
    <t>Thierry Henry - 24</t>
  </si>
  <si>
    <t>Michael Owen - 19</t>
  </si>
  <si>
    <t>Jerzy Dudek</t>
  </si>
  <si>
    <t>David Trezeguet - 24</t>
  </si>
  <si>
    <t>Vincenzo Montella - 13</t>
  </si>
  <si>
    <t>Francesco Antonioli</t>
  </si>
  <si>
    <t>Márcio Amoroso - 18</t>
  </si>
  <si>
    <t>Ruud van Nistelrooy - 23</t>
  </si>
  <si>
    <t>Michael Ballack - 17</t>
  </si>
  <si>
    <t>Christian Vieri - 22</t>
  </si>
  <si>
    <t>Giovane Élber - 17</t>
  </si>
  <si>
    <t>Rubén Baraja - 7</t>
  </si>
  <si>
    <t>Sonny Anderson - 14</t>
  </si>
  <si>
    <t>Daniel Moreira - 12</t>
  </si>
  <si>
    <t>Alan Shearer - 23</t>
  </si>
  <si>
    <t>Diego Tristán - 21</t>
  </si>
  <si>
    <t>Marcelinho Paraíba - 13</t>
  </si>
  <si>
    <t>Ebbe Sand - 11</t>
  </si>
  <si>
    <t>Fernando Morientes - 18</t>
  </si>
  <si>
    <t>Iker Casillas</t>
  </si>
  <si>
    <t>Robbie Fowler - 12</t>
  </si>
  <si>
    <t>Djibril Cissé - 22</t>
  </si>
  <si>
    <t>Fabien Cool</t>
  </si>
  <si>
    <t>Ronaldinho - 9</t>
  </si>
  <si>
    <t>Jimmy Floyd Hasselbaink - 23</t>
  </si>
  <si>
    <t>Carlo Cudicini</t>
  </si>
  <si>
    <t>Patrick Kluivert - 18</t>
  </si>
  <si>
    <t>Roberto Bonano</t>
  </si>
  <si>
    <t>Aílton Gonçalves - 16</t>
  </si>
  <si>
    <t>Frank Rost</t>
  </si>
  <si>
    <t>Miroslav Klose - 16</t>
  </si>
  <si>
    <t>Bruno Cheyrou - 11</t>
  </si>
  <si>
    <t>Grégory Wimbée</t>
  </si>
  <si>
    <t>Andriy Shevchenko - 14</t>
  </si>
  <si>
    <t>Christian Abbiati</t>
  </si>
  <si>
    <t>Massimo Marazzina - 13</t>
  </si>
  <si>
    <t>Cristiano Lupatelli</t>
  </si>
  <si>
    <t>Catanha - 17</t>
  </si>
  <si>
    <t>Pablo Cavallero</t>
  </si>
  <si>
    <t>Hernán Crespo - 13</t>
  </si>
  <si>
    <t>João Tomás - 7</t>
  </si>
  <si>
    <t>Julio Ricardo Cruz - 10</t>
  </si>
  <si>
    <t>Ionel Ganea - 10</t>
  </si>
  <si>
    <t>Timo Hildebrand</t>
  </si>
  <si>
    <t>Pauleta - 22</t>
  </si>
  <si>
    <t>Martin Max - 18</t>
  </si>
  <si>
    <t>Simon Jentzsch</t>
  </si>
  <si>
    <t>Magno Mocelin - 7</t>
  </si>
  <si>
    <t>Martín Herrera</t>
  </si>
  <si>
    <t>Moisés - 13</t>
  </si>
  <si>
    <t>Antonio Notario</t>
  </si>
  <si>
    <t>Julio Dely Valdés - 11</t>
  </si>
  <si>
    <t>Pedro Contreras</t>
  </si>
  <si>
    <t>Frédéric Kanouté - 11</t>
  </si>
  <si>
    <t>Ismael Urzaiz - 15</t>
  </si>
  <si>
    <t>Iñaki Lafuente</t>
  </si>
  <si>
    <t>Nicolas Goussé - 15</t>
  </si>
  <si>
    <t>Tomislav Marić - 12</t>
  </si>
  <si>
    <t>Pierre-Alain Frau - 14</t>
  </si>
  <si>
    <t>Vincent Fernandez</t>
  </si>
  <si>
    <t>Fabio Bazzani - 10</t>
  </si>
  <si>
    <t>Óscar Córdoba</t>
  </si>
  <si>
    <t>Juan Pablo Ángel, Darius Vassell - 12</t>
  </si>
  <si>
    <t>Gus Poyet, Teddy Sheringham - 10</t>
  </si>
  <si>
    <t>Cristiano Doni - 16</t>
  </si>
  <si>
    <t>Massimo Taibi</t>
  </si>
  <si>
    <t>Marco Di Vaio - 20</t>
  </si>
  <si>
    <t>Ibrahima Bakayoko - 8</t>
  </si>
  <si>
    <t>Vedran Runje</t>
  </si>
  <si>
    <t>Elvir Bolić - 11</t>
  </si>
  <si>
    <t>Marco Ferrante - 10</t>
  </si>
  <si>
    <t>Luca Bucci</t>
  </si>
  <si>
    <t>Marama Vahirua - 6</t>
  </si>
  <si>
    <t>Fernando - 15</t>
  </si>
  <si>
    <t>Ricardo</t>
  </si>
  <si>
    <t>Dario Hübner - 24</t>
  </si>
  <si>
    <t>Matteo Guardalben</t>
  </si>
  <si>
    <t>Darko Kovačević - 8</t>
  </si>
  <si>
    <t>Sander Westerveld</t>
  </si>
  <si>
    <t>Raúl Tamudo - 17</t>
  </si>
  <si>
    <t>Juan Luis Mora</t>
  </si>
  <si>
    <t>Matt Jansen - 10</t>
  </si>
  <si>
    <t>Brad Friedel</t>
  </si>
  <si>
    <t>Tony Vairelles - 14</t>
  </si>
  <si>
    <t>Nicolas Penneteau</t>
  </si>
  <si>
    <t>Olivier Monterrubio - 8</t>
  </si>
  <si>
    <t>Toifilou Maoulida - 5</t>
  </si>
  <si>
    <t>Rudy Riou</t>
  </si>
  <si>
    <t>Bernardo Romeo - 8</t>
  </si>
  <si>
    <t>Marians Pahars - 14</t>
  </si>
  <si>
    <t>Luca Toni - 13</t>
  </si>
  <si>
    <t>Luca Castellazzi</t>
  </si>
  <si>
    <t>Roberto Muzzi - 14</t>
  </si>
  <si>
    <t>Alen Bokšić - 8</t>
  </si>
  <si>
    <t>Mark Schwarzer</t>
  </si>
  <si>
    <t>Barry Hayles, Steed Malbranque... - 8</t>
  </si>
  <si>
    <t>Edwin van der Sar</t>
  </si>
  <si>
    <t>Jason Euell - 11</t>
  </si>
  <si>
    <t>Dean Kiely</t>
  </si>
  <si>
    <t>Henri Camara, Pius Ndiefi - 8</t>
  </si>
  <si>
    <t>Patrick Regnault</t>
  </si>
  <si>
    <t>Shabani Nonda - 14</t>
  </si>
  <si>
    <t>Flavio Roma</t>
  </si>
  <si>
    <t>Adrian Mutu - 12</t>
  </si>
  <si>
    <t>Arie van Lent - 12</t>
  </si>
  <si>
    <t>Jörg Stiel</t>
  </si>
  <si>
    <t>Víctor - 14</t>
  </si>
  <si>
    <t>Javier López Vallejo</t>
  </si>
  <si>
    <t>Duncan Ferguson, Tomasz Radzinski - 6</t>
  </si>
  <si>
    <t>Steve Simonsen</t>
  </si>
  <si>
    <t>Albert Luque - 14</t>
  </si>
  <si>
    <t>Leo Franco</t>
  </si>
  <si>
    <t>John Aloisi - 9</t>
  </si>
  <si>
    <t>Juan Carlos Unzué</t>
  </si>
  <si>
    <t>Jorge Larena - 7</t>
  </si>
  <si>
    <t>Nacho González</t>
  </si>
  <si>
    <t>Michael Ricketts - 12</t>
  </si>
  <si>
    <t>Jussi Jääskeläinen</t>
  </si>
  <si>
    <t>Kevin Phillips - 11</t>
  </si>
  <si>
    <t>Thomas Sørensen</t>
  </si>
  <si>
    <t>Cédric Bardon - 8</t>
  </si>
  <si>
    <t>Éric Loussouarn</t>
  </si>
  <si>
    <t>Marko Topić - 7</t>
  </si>
  <si>
    <t>Tomislav Piplica</t>
  </si>
  <si>
    <t>Magnus Arvidsson, Markus Beierle... - 5</t>
  </si>
  <si>
    <t>Mathias Schober</t>
  </si>
  <si>
    <t>Cacau - 6</t>
  </si>
  <si>
    <t>Darius Kampa</t>
  </si>
  <si>
    <t>Bruno Marioni - 9</t>
  </si>
  <si>
    <t>Sergio Aragoneses</t>
  </si>
  <si>
    <t>Jonathan Jäger - 6</t>
  </si>
  <si>
    <t>Roberto Acuña, Savo Milošević... - 6</t>
  </si>
  <si>
    <t>César Láinez</t>
  </si>
  <si>
    <t>Marcus Bent - 9</t>
  </si>
  <si>
    <t>Jean-Claude Darcheville - 19</t>
  </si>
  <si>
    <t>Stéphane Le Garrec</t>
  </si>
  <si>
    <t>Soumaila Coulibaly - 6</t>
  </si>
  <si>
    <t>Richard Golz</t>
  </si>
  <si>
    <t>Dirk Lottner - 9</t>
  </si>
  <si>
    <t>Markus Pröll</t>
  </si>
  <si>
    <t>Javier Chevantón - 11</t>
  </si>
  <si>
    <t>Antonio Chimenti</t>
  </si>
  <si>
    <t>Malcolm Christie, Fabrizio Ravanelli - 9</t>
  </si>
  <si>
    <t>Andy Oakes</t>
  </si>
  <si>
    <t>Brian Deane - 6</t>
  </si>
  <si>
    <t>Thomas Meggle - 10</t>
  </si>
  <si>
    <t>Tihomir Bulat, Simon Henzler</t>
  </si>
  <si>
    <t>Adriano - 6</t>
  </si>
  <si>
    <t>Alex Manninger</t>
  </si>
  <si>
    <t>Filippo Maniero - 18</t>
  </si>
  <si>
    <t>Generoso Rossi</t>
  </si>
  <si>
    <t>La Coruña</t>
  </si>
  <si>
    <t>Chievo</t>
  </si>
  <si>
    <t>Alavés</t>
  </si>
  <si>
    <t>Málaga</t>
  </si>
  <si>
    <t>Troyes</t>
  </si>
  <si>
    <t>Perugia</t>
  </si>
  <si>
    <t>Middlesbrough</t>
  </si>
  <si>
    <t>Fulham</t>
  </si>
  <si>
    <t>Charlton Ath</t>
  </si>
  <si>
    <t>Sedan</t>
  </si>
  <si>
    <t>Hellas Verona</t>
  </si>
  <si>
    <t>Villarreal</t>
  </si>
  <si>
    <t>Las Palmas</t>
  </si>
  <si>
    <t>Sunderland</t>
  </si>
  <si>
    <t>Energie Cottbus</t>
  </si>
  <si>
    <t>Nürnberg</t>
  </si>
  <si>
    <t>Lorient</t>
  </si>
  <si>
    <t>St. Pauli</t>
  </si>
  <si>
    <t>Venezia</t>
  </si>
  <si>
    <t>Frank Lampard - 16</t>
  </si>
  <si>
    <t>Petr Čech</t>
  </si>
  <si>
    <t>David Trezeguet - 23</t>
  </si>
  <si>
    <t>Fred - 14</t>
  </si>
  <si>
    <t>Roy Makaay - 17</t>
  </si>
  <si>
    <t>Ruud van Nistelrooy - 21</t>
  </si>
  <si>
    <t>Samuel Eto'o - 26</t>
  </si>
  <si>
    <t>Víctor Valdés</t>
  </si>
  <si>
    <t>Steven Gerrard - 10</t>
  </si>
  <si>
    <t>Pepe Reina</t>
  </si>
  <si>
    <t>Miroslav Klose - 25</t>
  </si>
  <si>
    <t>Julio Ricardo Cruz - 15</t>
  </si>
  <si>
    <t>Júlio César</t>
  </si>
  <si>
    <t>Sergej Barbarez - 9</t>
  </si>
  <si>
    <t>Stefan Wächter</t>
  </si>
  <si>
    <t>Ronaldo - 14</t>
  </si>
  <si>
    <t>Francesco Totti - 15</t>
  </si>
  <si>
    <t>Doni</t>
  </si>
  <si>
    <t>David Villa - 25</t>
  </si>
  <si>
    <t>Jean-Claude Darcheville - 8</t>
  </si>
  <si>
    <t>Kevin Kurányi, Søren Larsen - 10</t>
  </si>
  <si>
    <t>Javier Saviola - 9</t>
  </si>
  <si>
    <t>Andrés Palop</t>
  </si>
  <si>
    <t>Savo Milošević - 11</t>
  </si>
  <si>
    <t>Thierry Henry - 27</t>
  </si>
  <si>
    <t>Robbie Keane - 16</t>
  </si>
  <si>
    <t>Paul Robinson</t>
  </si>
  <si>
    <t>Fernando Baiano - 13</t>
  </si>
  <si>
    <t>José Manuel Pinto</t>
  </si>
  <si>
    <t>Craig Bellamy - 13</t>
  </si>
  <si>
    <t>Peter Odemwingie - 14</t>
  </si>
  <si>
    <t>Tony Sylva</t>
  </si>
  <si>
    <t>Daniel Cousin - 13</t>
  </si>
  <si>
    <t>Charles Itandje</t>
  </si>
  <si>
    <t>Mamadou Niang - 10</t>
  </si>
  <si>
    <t>Luigi Pieroni - 12</t>
  </si>
  <si>
    <t>John Utaka - 11</t>
  </si>
  <si>
    <t>Andreas Isaksson</t>
  </si>
  <si>
    <t>Andriy Shevchenko - 19</t>
  </si>
  <si>
    <t>Dida</t>
  </si>
  <si>
    <t>Dimitar Berbatov - 21</t>
  </si>
  <si>
    <t>Alan Shearer - 10</t>
  </si>
  <si>
    <t>Bakari Koné - 7</t>
  </si>
  <si>
    <t>Damien Gregorini</t>
  </si>
  <si>
    <t>Juan Román Riquelme - 12</t>
  </si>
  <si>
    <t>Sebastián Viera</t>
  </si>
  <si>
    <t>Stelios Giannakopoulos, Kevin Nolan - 9</t>
  </si>
  <si>
    <t>Diego Tristán - 11</t>
  </si>
  <si>
    <t>Marlon Harewood - 14</t>
  </si>
  <si>
    <t>Roy Carroll</t>
  </si>
  <si>
    <t>Sergio Pellissier - 13</t>
  </si>
  <si>
    <t>Veljko Paunović, Mariano Pernía - 10</t>
  </si>
  <si>
    <t>Luis García</t>
  </si>
  <si>
    <t>Marcelinho Paraíba - 12</t>
  </si>
  <si>
    <t>Christian Fiedler</t>
  </si>
  <si>
    <t>Fernando Torres - 13</t>
  </si>
  <si>
    <t>Pauleta - 21</t>
  </si>
  <si>
    <t>Javier Chevantón - 10</t>
  </si>
  <si>
    <t>Andrea Caracciolo - 9</t>
  </si>
  <si>
    <t>Mariano Andújar</t>
  </si>
  <si>
    <t>Túlio de Melo - 7</t>
  </si>
  <si>
    <t>Yohann Pelé</t>
  </si>
  <si>
    <t>Euzebiusz Smolarek - 13</t>
  </si>
  <si>
    <t>Roman Weidenfeller</t>
  </si>
  <si>
    <t>Henri Camara - 12</t>
  </si>
  <si>
    <t>Mike Pollitt</t>
  </si>
  <si>
    <t>James Beattie - 10</t>
  </si>
  <si>
    <t>Róbert Vittek - 16</t>
  </si>
  <si>
    <t>Raphael Schäfer</t>
  </si>
  <si>
    <t>Cristiano Lucarelli - 19</t>
  </si>
  <si>
    <t>Marco Amelia</t>
  </si>
  <si>
    <t>Élie Kroupi - 9</t>
  </si>
  <si>
    <t>Gennaro Bracigliano</t>
  </si>
  <si>
    <t>Danijel Ljuboja, Jon Dahl Tomasson - 8</t>
  </si>
  <si>
    <t>Collins John - 11</t>
  </si>
  <si>
    <t>Tony Warner</t>
  </si>
  <si>
    <t>Oliver Neuville - 10</t>
  </si>
  <si>
    <t>Frédéric Piquionne - 6</t>
  </si>
  <si>
    <t>Jérémie Janot</t>
  </si>
  <si>
    <t>Darren Bent - 18</t>
  </si>
  <si>
    <t>Diego Milito - 15</t>
  </si>
  <si>
    <t>Mamadou Diallo - 10</t>
  </si>
  <si>
    <t>Aritz Aduriz - 6</t>
  </si>
  <si>
    <t>Yakubu Aiyegbeni - 13</t>
  </si>
  <si>
    <t>Francesco Tavano - 18</t>
  </si>
  <si>
    <t>Gianluca Berti</t>
  </si>
  <si>
    <t>Bernardo Corradi, Fábio Simplício - 10</t>
  </si>
  <si>
    <t>Luca Toni - 31</t>
  </si>
  <si>
    <t>Ilan - 10</t>
  </si>
  <si>
    <t>Andy Cole - 9</t>
  </si>
  <si>
    <t>Marco Ferrante - 8</t>
  </si>
  <si>
    <t>Ferdinando Coppola</t>
  </si>
  <si>
    <t>Vincenzo Iaquinta - 9</t>
  </si>
  <si>
    <t>Morgan De Sanctis</t>
  </si>
  <si>
    <t>Juan Arango - 11</t>
  </si>
  <si>
    <t>Michael Thurk - 12</t>
  </si>
  <si>
    <t>Dimo Wache</t>
  </si>
  <si>
    <t>Thomas Brdarić - 10</t>
  </si>
  <si>
    <t>Robert Enke</t>
  </si>
  <si>
    <t>Milan Baroš, Luke Moore - 8</t>
  </si>
  <si>
    <t>Robert - 7</t>
  </si>
  <si>
    <t>Toni Doblas</t>
  </si>
  <si>
    <t>Isaac Boakye - 8</t>
  </si>
  <si>
    <t>Mathias Hain</t>
  </si>
  <si>
    <t>Francesco Flachi - 11</t>
  </si>
  <si>
    <t>Daniel Moreira - 10</t>
  </si>
  <si>
    <t>Luis García, Raúl Tamudo - 10</t>
  </si>
  <si>
    <t>Gorka Iraizoz</t>
  </si>
  <si>
    <t>Nicola Amoruso - 11</t>
  </si>
  <si>
    <t>Ivan Pelizzoli</t>
  </si>
  <si>
    <t>Ioannis Amanatidis - 12</t>
  </si>
  <si>
    <t>Oka Nikolov</t>
  </si>
  <si>
    <t>Antoñito - 9</t>
  </si>
  <si>
    <t>Dudu Aouate</t>
  </si>
  <si>
    <t>Xabi Prieto - 9</t>
  </si>
  <si>
    <t>Asier Riesgo</t>
  </si>
  <si>
    <t>Sébastien Grax - 9</t>
  </si>
  <si>
    <t>Ronan Le Crom</t>
  </si>
  <si>
    <t>David Suazo - 22</t>
  </si>
  <si>
    <t>Erjon Bogdani, Enrico Chiesa - 11</t>
  </si>
  <si>
    <t>Antonio Mirante</t>
  </si>
  <si>
    <t>John Aloisi - 10</t>
  </si>
  <si>
    <t>Franco Costanzo</t>
  </si>
  <si>
    <t>Diego Klimowicz - 12</t>
  </si>
  <si>
    <t>Lomana LuaLua - 7</t>
  </si>
  <si>
    <t>Jamie Ashdown</t>
  </si>
  <si>
    <t>Halil Altıntop - 20</t>
  </si>
  <si>
    <t>Jürgen Macho</t>
  </si>
  <si>
    <t>Jonathan Sesma, Lucas Lobos - 7</t>
  </si>
  <si>
    <t>Armando</t>
  </si>
  <si>
    <t>Jiří Jarošík - 5</t>
  </si>
  <si>
    <t>Maik Taylor</t>
  </si>
  <si>
    <t>Lukas Podolski - 12</t>
  </si>
  <si>
    <t>Stefan Wessels</t>
  </si>
  <si>
    <t>Moussa N'Diaye, Waldir Lucas Pereira - 5</t>
  </si>
  <si>
    <t>Stéphane Porato</t>
  </si>
  <si>
    <t>Tommaso Rocchi - 16</t>
  </si>
  <si>
    <t>Arturo Di Napoli - 13</t>
  </si>
  <si>
    <t>Marco Storari</t>
  </si>
  <si>
    <t>Nathan Ellington, Nwankwo Kanu - 5</t>
  </si>
  <si>
    <t>Tomasz Kuszczak</t>
  </si>
  <si>
    <t>Abdelaziz Ahanfouf - 9</t>
  </si>
  <si>
    <t>Amara Diané - 9</t>
  </si>
  <si>
    <t>Mirko Vučinić - 9</t>
  </si>
  <si>
    <t>Vincenzo Sicignano</t>
  </si>
  <si>
    <t>Babacar Gueye, Grégory Proment... - 3</t>
  </si>
  <si>
    <t>Salva Ballesta - 6</t>
  </si>
  <si>
    <t>Francesc Arnau</t>
  </si>
  <si>
    <t>Marco Borriello, Reginaldo - 5</t>
  </si>
  <si>
    <t>Adriano Zancopè</t>
  </si>
  <si>
    <t>Liam Lawrence, Anthony Le Tallec... - 3</t>
  </si>
  <si>
    <t>Kelvin Davis</t>
  </si>
  <si>
    <t>Nice</t>
  </si>
  <si>
    <t>Getafe</t>
  </si>
  <si>
    <t>Palermo</t>
  </si>
  <si>
    <t>Le Mans</t>
  </si>
  <si>
    <t>Wigan Athletic</t>
  </si>
  <si>
    <t>Livorno</t>
  </si>
  <si>
    <t>Nancy</t>
  </si>
  <si>
    <t>Ascoli</t>
  </si>
  <si>
    <t>Mainz 05</t>
  </si>
  <si>
    <t>Hannover 96</t>
  </si>
  <si>
    <t>Reggina</t>
  </si>
  <si>
    <t>Eint Frankfurt</t>
  </si>
  <si>
    <t>Siena</t>
  </si>
  <si>
    <t>Portsmouth</t>
  </si>
  <si>
    <t>Cádiz</t>
  </si>
  <si>
    <t>Birmingham City</t>
  </si>
  <si>
    <t>Ajaccio</t>
  </si>
  <si>
    <t>Messina</t>
  </si>
  <si>
    <t>West Brom</t>
  </si>
  <si>
    <t>Treviso</t>
  </si>
  <si>
    <t>Lionel Messi - 34</t>
  </si>
  <si>
    <t>Gonzalo Higuaín - 27</t>
  </si>
  <si>
    <t>Didier Drogba - 29</t>
  </si>
  <si>
    <t>Wayne Rooney - 26</t>
  </si>
  <si>
    <t>Diego Milito - 22</t>
  </si>
  <si>
    <t>Mirko Vučinić, Francesco Totti - 14</t>
  </si>
  <si>
    <t>Júlio Sérgio</t>
  </si>
  <si>
    <t>Arjen Robben - 16</t>
  </si>
  <si>
    <t>Mamadou Niang - 18</t>
  </si>
  <si>
    <t>Steve Mandanda</t>
  </si>
  <si>
    <t>Cesc Fàbregas - 15</t>
  </si>
  <si>
    <t>Manuel Almunia</t>
  </si>
  <si>
    <t>Kevin Kurányi - 18</t>
  </si>
  <si>
    <t>Manuel Neuer</t>
  </si>
  <si>
    <t>Lisandro López - 15</t>
  </si>
  <si>
    <t>Hugo Lloris</t>
  </si>
  <si>
    <t>David Villa - 21</t>
  </si>
  <si>
    <t>Ireneusz Jeleń - 14</t>
  </si>
  <si>
    <t>Olivier Sorin</t>
  </si>
  <si>
    <t>Yohan Cabaye, Pierre-Alain Frau... - 13</t>
  </si>
  <si>
    <t>Jermain Defoe - 18</t>
  </si>
  <si>
    <t>Heurelho Gomes</t>
  </si>
  <si>
    <t>Marco Borriello - 14</t>
  </si>
  <si>
    <t>Víctor Montaño - 11</t>
  </si>
  <si>
    <t>Geoffrey Jourdren</t>
  </si>
  <si>
    <t>Claudio Pizarro - 16</t>
  </si>
  <si>
    <t>Tim Wiese</t>
  </si>
  <si>
    <t>Carlos Tevez - 23</t>
  </si>
  <si>
    <t>Giampaolo Pazzini - 19</t>
  </si>
  <si>
    <t>Stefan Kießling - 21</t>
  </si>
  <si>
    <t>René Adler</t>
  </si>
  <si>
    <t>Fabrizio Miccoli - 19</t>
  </si>
  <si>
    <t>Salvatore Sirigu</t>
  </si>
  <si>
    <t>Wendel Geraldo - 11</t>
  </si>
  <si>
    <t>Cédric Carrasso</t>
  </si>
  <si>
    <t>Gabriel Agbonlahor - 13</t>
  </si>
  <si>
    <t>Lucas Barrios - 19</t>
  </si>
  <si>
    <t>Fernando Torres - 18</t>
  </si>
  <si>
    <t>Luís Fabiano - 15</t>
  </si>
  <si>
    <t>Aritz Aduriz - 12</t>
  </si>
  <si>
    <t>Cacau - 13</t>
  </si>
  <si>
    <t>Louis Saha - 13</t>
  </si>
  <si>
    <t>Tim Howard</t>
  </si>
  <si>
    <t>Marek Hamšík - 12</t>
  </si>
  <si>
    <t>Mladen Petrić - 8</t>
  </si>
  <si>
    <t>Kévin Gameiro - 17</t>
  </si>
  <si>
    <t>Fabien Audard</t>
  </si>
  <si>
    <t>Roberto Soldado - 16</t>
  </si>
  <si>
    <t>Jordi Codina</t>
  </si>
  <si>
    <t>Edin Džeko - 22</t>
  </si>
  <si>
    <t>Diego Benaglio</t>
  </si>
  <si>
    <t>Nilmar - 11</t>
  </si>
  <si>
    <t>Diego López</t>
  </si>
  <si>
    <t>Alessandro Del Piero - 9</t>
  </si>
  <si>
    <t>Nenê - 14</t>
  </si>
  <si>
    <t>Stéphane Ruffier</t>
  </si>
  <si>
    <t>Fernando Llorente - 14</t>
  </si>
  <si>
    <t>Asamoah Gyan - 13</t>
  </si>
  <si>
    <t>Nicolas Douchez</t>
  </si>
  <si>
    <t>Aristide Bancé - 10</t>
  </si>
  <si>
    <t>Heinz Müller</t>
  </si>
  <si>
    <t>Fahid Ben Khalfallah, Mamadou Samassa... - 7</t>
  </si>
  <si>
    <t>Valeri Bojinov - 8</t>
  </si>
  <si>
    <t>Alexander Meier - 10</t>
  </si>
  <si>
    <t>Rodrigo Palacio - 7</t>
  </si>
  <si>
    <t>Paulo Vitor Barreto - 14</t>
  </si>
  <si>
    <t>Jean-François Gillet</t>
  </si>
  <si>
    <t>Cameron Jerome - 11</t>
  </si>
  <si>
    <t>Joe Hart</t>
  </si>
  <si>
    <t>David Dunn - 9</t>
  </si>
  <si>
    <t>Toifilou Maoulida - 10</t>
  </si>
  <si>
    <t>Youssouf Hadji - 11</t>
  </si>
  <si>
    <t>Mevlüt Erdinç - 15</t>
  </si>
  <si>
    <t>Apoula Edel</t>
  </si>
  <si>
    <t>Vedad Ibišević - 12</t>
  </si>
  <si>
    <t>Alberto Gilardino - 15</t>
  </si>
  <si>
    <t>André-Pierre Gignac - 8</t>
  </si>
  <si>
    <t>Diego Forlán - 18</t>
  </si>
  <si>
    <t>David de Gea</t>
  </si>
  <si>
    <t>Matthew Etherington - 5</t>
  </si>
  <si>
    <t>Riki - 8</t>
  </si>
  <si>
    <t>Daniel Aranzubia</t>
  </si>
  <si>
    <t>Sergio Floccari - 8</t>
  </si>
  <si>
    <t>Fernando Muslera</t>
  </si>
  <si>
    <t>Bobby Zamora - 8</t>
  </si>
  <si>
    <t>Maxi López - 11</t>
  </si>
  <si>
    <t>Alessandro Matri - 13</t>
  </si>
  <si>
    <t>Federico Marchetti</t>
  </si>
  <si>
    <t>Antonio Di Natale - 29</t>
  </si>
  <si>
    <t>Samir Handanović</t>
  </si>
  <si>
    <t>Sergio Pellissier - 11</t>
  </si>
  <si>
    <t>Stefano Sorrentino</t>
  </si>
  <si>
    <t>Darren Bent - 24</t>
  </si>
  <si>
    <t>Craig Gordon</t>
  </si>
  <si>
    <t>Loïc Rémy - 14</t>
  </si>
  <si>
    <t>David Ospina</t>
  </si>
  <si>
    <t>Dani Osvaldo - 7</t>
  </si>
  <si>
    <t>Carlos Kameni</t>
  </si>
  <si>
    <t>Roel Brouwers, Marco Reus - 8</t>
  </si>
  <si>
    <t>Logan Bailly</t>
  </si>
  <si>
    <t>Walter Pandiani - 11</t>
  </si>
  <si>
    <t>Milivoje Novaković - 6</t>
  </si>
  <si>
    <t>Faryd Mondragón</t>
  </si>
  <si>
    <t>Kalu Uche - 9</t>
  </si>
  <si>
    <t>Diego Alves</t>
  </si>
  <si>
    <t>Marco Di Vaio - 12</t>
  </si>
  <si>
    <t>Emiliano Viviano</t>
  </si>
  <si>
    <t>Adrián Colunga - 7</t>
  </si>
  <si>
    <t>Juan Pablo Carrizo</t>
  </si>
  <si>
    <t>Stéphane Dalmat - 4</t>
  </si>
  <si>
    <t>Diego Castro - 10</t>
  </si>
  <si>
    <t>Juan Pablo Colinas</t>
  </si>
  <si>
    <t>Emmanuel Rivière - 8</t>
  </si>
  <si>
    <t>Mohamed Tchité - 11</t>
  </si>
  <si>
    <t>Fabio Coltorti</t>
  </si>
  <si>
    <t>Mohammadou Idrissou - 9</t>
  </si>
  <si>
    <t>Simon Pouplin</t>
  </si>
  <si>
    <t>Ivan Klasnić, Matthew Taylor - 8</t>
  </si>
  <si>
    <t>Kevin Doyle - 9</t>
  </si>
  <si>
    <t>Marcus Hahnemann</t>
  </si>
  <si>
    <t>Duda - 8</t>
  </si>
  <si>
    <t>Gustavo Munúa</t>
  </si>
  <si>
    <t>Didier Ya Konan - 9</t>
  </si>
  <si>
    <t>Florian Fromlowitz</t>
  </si>
  <si>
    <t>Diego Costa - 8</t>
  </si>
  <si>
    <t>Justo Villar</t>
  </si>
  <si>
    <t>Nino - 14</t>
  </si>
  <si>
    <t>Hugo Rodallega - 10</t>
  </si>
  <si>
    <t>Chris Kirkland</t>
  </si>
  <si>
    <t>Simone Tiribocchi - 11</t>
  </si>
  <si>
    <t>Andrea Consigli</t>
  </si>
  <si>
    <t>Carlton Cole - 10</t>
  </si>
  <si>
    <t>Robert Green</t>
  </si>
  <si>
    <t>Albert Bunjaku - 12</t>
  </si>
  <si>
    <t>Mario Bermejo - 12</t>
  </si>
  <si>
    <t>Renan Brito Soares</t>
  </si>
  <si>
    <t>Anthony Le Tallec - 8</t>
  </si>
  <si>
    <t>Didier Ovono</t>
  </si>
  <si>
    <t>Massimo Maccarone - 12</t>
  </si>
  <si>
    <t>Gianluca Curci</t>
  </si>
  <si>
    <t>Jérémy Blayac - 6</t>
  </si>
  <si>
    <t>Jean-François Bédénik</t>
  </si>
  <si>
    <t>Stanislav Šesták - 6</t>
  </si>
  <si>
    <t>Philipp Heerwagen</t>
  </si>
  <si>
    <t>Steven Fletcher - 8</t>
  </si>
  <si>
    <t>Brian Jensen</t>
  </si>
  <si>
    <t>Stephen Hunt - 6</t>
  </si>
  <si>
    <t>Boaz Myhill</t>
  </si>
  <si>
    <t>Cristiano Lucarelli - 10</t>
  </si>
  <si>
    <t>Alfonso De Lucia</t>
  </si>
  <si>
    <t>Adrián Ramos - 10</t>
  </si>
  <si>
    <t>Jaroslav Drobný</t>
  </si>
  <si>
    <t>Danijel Ljuboja - 10</t>
  </si>
  <si>
    <t>Jody Viviani</t>
  </si>
  <si>
    <t>Aruna Dindane - 8</t>
  </si>
  <si>
    <t>Valenciennes</t>
  </si>
  <si>
    <t>Hoffenheim</t>
  </si>
  <si>
    <t>Stoke City</t>
  </si>
  <si>
    <t>Catania</t>
  </si>
  <si>
    <t>Almería</t>
  </si>
  <si>
    <t>Wolves</t>
  </si>
  <si>
    <t>Xerez</t>
  </si>
  <si>
    <t>Boulogne</t>
  </si>
  <si>
    <t>Burnley</t>
  </si>
  <si>
    <t>Hull City</t>
  </si>
  <si>
    <t>Grenoble</t>
  </si>
  <si>
    <t>Carlos Tevez - 19</t>
  </si>
  <si>
    <t>Mario Mandžukić - 18</t>
  </si>
  <si>
    <t>Diego Costa - 27</t>
  </si>
  <si>
    <t>Thibaut Courtois</t>
  </si>
  <si>
    <t>Zlatan Ibrahimović - 26</t>
  </si>
  <si>
    <t>Lionel Messi - 28</t>
  </si>
  <si>
    <t>Cristiano Ronaldo - 31</t>
  </si>
  <si>
    <t>Yaya Touré - 20</t>
  </si>
  <si>
    <t>Mattia Destro - 13</t>
  </si>
  <si>
    <t>Luis Suárez - 31</t>
  </si>
  <si>
    <t>Simon Mignolet</t>
  </si>
  <si>
    <t>Eden Hazard - 14</t>
  </si>
  <si>
    <t>Emmanuel Rivière - 10</t>
  </si>
  <si>
    <t>Danijel Subašić</t>
  </si>
  <si>
    <t>Robert Lewandowski - 20</t>
  </si>
  <si>
    <t>Olivier Giroud - 16</t>
  </si>
  <si>
    <t>Wojciech Szczęsny</t>
  </si>
  <si>
    <t>Gonzalo Higuaín - 17</t>
  </si>
  <si>
    <t>Romelu Lukaku - 15</t>
  </si>
  <si>
    <t>Klaas-Jan Huntelaar - 12</t>
  </si>
  <si>
    <t>Ralf Fährmann</t>
  </si>
  <si>
    <t>Salomon Kalou - 16</t>
  </si>
  <si>
    <t>Vincent Enyeama</t>
  </si>
  <si>
    <t>Aritz Aduriz - 16</t>
  </si>
  <si>
    <t>Mevlüt Erdinç - 11</t>
  </si>
  <si>
    <t>Emmanuel Adebayor - 11</t>
  </si>
  <si>
    <t>Stefan Kießling - 15</t>
  </si>
  <si>
    <t>Bernd Leno</t>
  </si>
  <si>
    <t>Ivica Olić - 14</t>
  </si>
  <si>
    <t>Giuseppe Rossi - 16</t>
  </si>
  <si>
    <t>Neto</t>
  </si>
  <si>
    <t>Wayne Rooney - 17</t>
  </si>
  <si>
    <t>Kévin Gameiro - 15</t>
  </si>
  <si>
    <t>Beto</t>
  </si>
  <si>
    <t>Raffael - 15</t>
  </si>
  <si>
    <t>Marc-André ter Stegen</t>
  </si>
  <si>
    <t>Alexandre Lacazette - 15</t>
  </si>
  <si>
    <t>Anthony Lopes</t>
  </si>
  <si>
    <t>Rodrigo Palacio - 17</t>
  </si>
  <si>
    <t>André-Pierre Gignac - 16</t>
  </si>
  <si>
    <t>Shinji Okazaki - 15</t>
  </si>
  <si>
    <t>Loris Karius</t>
  </si>
  <si>
    <t>Ikechukwu Uche - 13</t>
  </si>
  <si>
    <t>Sergio Asenjo</t>
  </si>
  <si>
    <t>Antoine Griezmann, Carlos Vela - 16</t>
  </si>
  <si>
    <t>Claudio Bravo</t>
  </si>
  <si>
    <t>Antonio Cassano - 12</t>
  </si>
  <si>
    <t>André Hahn - 12</t>
  </si>
  <si>
    <t>Marwin Hitz</t>
  </si>
  <si>
    <t>Ciro Immobile - 22</t>
  </si>
  <si>
    <t>Daniele Padelli</t>
  </si>
  <si>
    <t>Mario Balotelli - 14</t>
  </si>
  <si>
    <t>Jay Rodriguez - 15</t>
  </si>
  <si>
    <t>Artur Boruc</t>
  </si>
  <si>
    <t>Antonio Candreva - 12</t>
  </si>
  <si>
    <t>Luca Toni - 20</t>
  </si>
  <si>
    <t>Rafael</t>
  </si>
  <si>
    <t>Cheick Diabaté - 12</t>
  </si>
  <si>
    <t>Charlie Adam, Peter Crouch - 7</t>
  </si>
  <si>
    <t>Asmir Begović</t>
  </si>
  <si>
    <t>Germán Denis - 13</t>
  </si>
  <si>
    <t>Roberto Firmino - 16</t>
  </si>
  <si>
    <t>Koen Casteels</t>
  </si>
  <si>
    <t>Jonas - 10</t>
  </si>
  <si>
    <t>Nolito - 14</t>
  </si>
  <si>
    <t>Yoel</t>
  </si>
  <si>
    <t>Vincent Aboubakar - 16</t>
  </si>
  <si>
    <t>Wissam Ben Yedder - 16</t>
  </si>
  <si>
    <t>Ali Ahamada</t>
  </si>
  <si>
    <t>Gianni Bruno - 8</t>
  </si>
  <si>
    <t>Tim Krul</t>
  </si>
  <si>
    <t>David Barral - 7</t>
  </si>
  <si>
    <t>Keylor Navas</t>
  </si>
  <si>
    <t>Prince Oniangué - 10</t>
  </si>
  <si>
    <t>Kossi Agassa</t>
  </si>
  <si>
    <t>Szabolcs Huszti - 10</t>
  </si>
  <si>
    <t>Ron-Robert Zieler</t>
  </si>
  <si>
    <t>Nélson Oliveira - 8</t>
  </si>
  <si>
    <t>Benoît Costil</t>
  </si>
  <si>
    <t>Filip Đorđević - 10</t>
  </si>
  <si>
    <t>Rémy Riou</t>
  </si>
  <si>
    <t>Adrián Ramos - 16</t>
  </si>
  <si>
    <t>Thomas Kraft</t>
  </si>
  <si>
    <t>Roque Santa Cruz - 6</t>
  </si>
  <si>
    <t>Willy Caballero</t>
  </si>
  <si>
    <t>Éder - 12</t>
  </si>
  <si>
    <t>Angelo da Costa Júnior</t>
  </si>
  <si>
    <t>Dwight Gayle, Jason Puncheon - 7</t>
  </si>
  <si>
    <t>Julián Speroni</t>
  </si>
  <si>
    <t>Mattia Perin</t>
  </si>
  <si>
    <t>Antonio Di Natale - 17</t>
  </si>
  <si>
    <t>Simone Scuffet</t>
  </si>
  <si>
    <t>Kévin Bérigaud - 10</t>
  </si>
  <si>
    <t>Jesper Hansen</t>
  </si>
  <si>
    <t>Aaron Hunt, Nils Petersen - 7</t>
  </si>
  <si>
    <t>Raphael Wolf</t>
  </si>
  <si>
    <t>Joaquín Larrivey - 12</t>
  </si>
  <si>
    <t>Rubén</t>
  </si>
  <si>
    <t>Wilfried Bony - 16</t>
  </si>
  <si>
    <t>Michel Vorm</t>
  </si>
  <si>
    <t>Rémy Cabella - 14</t>
  </si>
  <si>
    <t>Mustapha Yatabaré - 11</t>
  </si>
  <si>
    <t>Guy N'dy Assembé, Mamadou Samassa</t>
  </si>
  <si>
    <t>Sergio García - 12</t>
  </si>
  <si>
    <t>Kiko Casilla</t>
  </si>
  <si>
    <t>Darío Cvitanich - 8</t>
  </si>
  <si>
    <t>Ángel Lafita, Pedro León - 7</t>
  </si>
  <si>
    <t>Miguel Ángel Moyá</t>
  </si>
  <si>
    <t>Youssef El-Arabi - 12</t>
  </si>
  <si>
    <t>Roberto</t>
  </si>
  <si>
    <t>Joselu - 9</t>
  </si>
  <si>
    <t>Kevin Trapp</t>
  </si>
  <si>
    <t>Admir Mehmedi - 12</t>
  </si>
  <si>
    <t>Oliver Baumann</t>
  </si>
  <si>
    <t>Kevin Nolan - 7</t>
  </si>
  <si>
    <t>Adrián</t>
  </si>
  <si>
    <t>Richmond Boakye, Ferran Corominas - 6</t>
  </si>
  <si>
    <t>Manu Herrera</t>
  </si>
  <si>
    <t>Cédric Bakambu - 7</t>
  </si>
  <si>
    <t>Verza, Rodri - 8</t>
  </si>
  <si>
    <t>Mauricio Pinilla - 7</t>
  </si>
  <si>
    <t>Vlada Avramov</t>
  </si>
  <si>
    <t>Oriol Riera - 13</t>
  </si>
  <si>
    <t>Andrés Fernández</t>
  </si>
  <si>
    <t>Adam Johnson - 8</t>
  </si>
  <si>
    <t>Vito Mannone</t>
  </si>
  <si>
    <t>Christian Benteke - 10</t>
  </si>
  <si>
    <t>Brad Guzan</t>
  </si>
  <si>
    <t>Nikica Jelavić - 5</t>
  </si>
  <si>
    <t>Allan McGregor</t>
  </si>
  <si>
    <t>Saido Berahino, Stéphane Sessègnon - 5</t>
  </si>
  <si>
    <t>Ben Foster</t>
  </si>
  <si>
    <t>Alberto Paloschi - 13</t>
  </si>
  <si>
    <t>Christian Puggioni</t>
  </si>
  <si>
    <t>Javi Guerra - 15</t>
  </si>
  <si>
    <t>Diego Mariño</t>
  </si>
  <si>
    <t>Martin Harnik, Vedad Ibišević - 10</t>
  </si>
  <si>
    <t>Sven Ulreich</t>
  </si>
  <si>
    <t>Domenico Berardi - 16</t>
  </si>
  <si>
    <t>Gianluca Pegolo</t>
  </si>
  <si>
    <t>Gary Hooper, Robert Snodgrass - 6</t>
  </si>
  <si>
    <t>John Ruddy</t>
  </si>
  <si>
    <t>Gonzalo Bergessio - 10</t>
  </si>
  <si>
    <t>Steve Sidwell - 7</t>
  </si>
  <si>
    <t>David Stockdale</t>
  </si>
  <si>
    <t>Pierre-Michel Lasogga - 13</t>
  </si>
  <si>
    <t>Jordon Mutch - 7</t>
  </si>
  <si>
    <t>David Marshall</t>
  </si>
  <si>
    <t>Abdul Majeed Waris - 9</t>
  </si>
  <si>
    <t>Panagiotis Kone, Alessandro Diamanti - 5</t>
  </si>
  <si>
    <t>Josip Drmić - 17</t>
  </si>
  <si>
    <t>Domi Kumbela - 9</t>
  </si>
  <si>
    <t>Daniel Davari</t>
  </si>
  <si>
    <t>Paulinho - 15</t>
  </si>
  <si>
    <t>Francesco Bardi</t>
  </si>
  <si>
    <t>Rubén Castro - 10</t>
  </si>
  <si>
    <t>Antonio Adán</t>
  </si>
  <si>
    <t>Junior Tallo - 7</t>
  </si>
  <si>
    <t>Guillermo Ochoa</t>
  </si>
  <si>
    <t>Augsburg</t>
  </si>
  <si>
    <t>Levante</t>
  </si>
  <si>
    <t>Reims</t>
  </si>
  <si>
    <t>Evian</t>
  </si>
  <si>
    <t>Swansea City</t>
  </si>
  <si>
    <t>Granada</t>
  </si>
  <si>
    <t>Elche</t>
  </si>
  <si>
    <t>Sassuolo</t>
  </si>
  <si>
    <t>Cardiff City</t>
  </si>
  <si>
    <t>BTSV</t>
  </si>
  <si>
    <t>xG</t>
  </si>
  <si>
    <t>xGA</t>
  </si>
  <si>
    <t>xGD</t>
  </si>
  <si>
    <t>xGD/90</t>
  </si>
  <si>
    <t>Sergio Agüero - 21</t>
  </si>
  <si>
    <t>Ederson</t>
  </si>
  <si>
    <t>Paulo Dybala - 22</t>
  </si>
  <si>
    <t>Robert Lewandowski - 29</t>
  </si>
  <si>
    <t>Edinson Cavani - 28</t>
  </si>
  <si>
    <t>Alphonse Areola</t>
  </si>
  <si>
    <t>Dries Mertens - 18</t>
  </si>
  <si>
    <t>Romelu Lukaku - 16</t>
  </si>
  <si>
    <t>Radamel Falcao - 18</t>
  </si>
  <si>
    <t>Antoine Griezmann - 19</t>
  </si>
  <si>
    <t>Jan Oblak</t>
  </si>
  <si>
    <t>Memphis - 19</t>
  </si>
  <si>
    <t>Harry Kane - 30</t>
  </si>
  <si>
    <t>Edin Džeko - 16</t>
  </si>
  <si>
    <t>Alisson</t>
  </si>
  <si>
    <t>Florian Thauvin - 22</t>
  </si>
  <si>
    <t>Cristiano Ronaldo - 26</t>
  </si>
  <si>
    <t>Mohamed Salah - 32</t>
  </si>
  <si>
    <t>Loris Karius, Simon Mignolet</t>
  </si>
  <si>
    <t>Rodrigo - 16</t>
  </si>
  <si>
    <t>Ciro Immobile - 29</t>
  </si>
  <si>
    <t>Thomas Strakosha</t>
  </si>
  <si>
    <t>Mauro Icardi - 29</t>
  </si>
  <si>
    <t>Guido Burgstaller - 11</t>
  </si>
  <si>
    <t>Eden Hazard - 12</t>
  </si>
  <si>
    <t>Patrick Cutrone - 10</t>
  </si>
  <si>
    <t>Gianluigi Donnarumma</t>
  </si>
  <si>
    <t>Alexandre Lacazette - 14</t>
  </si>
  <si>
    <t>Mark Uth - 14</t>
  </si>
  <si>
    <t>Pierre-Emerick Aubameyang - 13</t>
  </si>
  <si>
    <t>Roman Bürki</t>
  </si>
  <si>
    <t>Kevin Volland - 14</t>
  </si>
  <si>
    <t>Carlos Bacca - 15</t>
  </si>
  <si>
    <t>Josip Iličić - 11</t>
  </si>
  <si>
    <t>Etrit Berisha</t>
  </si>
  <si>
    <t>Sergio León - 11</t>
  </si>
  <si>
    <t>Timo Werner - 13</t>
  </si>
  <si>
    <t>Péter Gulácsi</t>
  </si>
  <si>
    <t>Benjamin Bourigeaud - 10</t>
  </si>
  <si>
    <t>Tomáš Koubek</t>
  </si>
  <si>
    <t>Wissam Ben Yedder - 9</t>
  </si>
  <si>
    <t>Sergio Rico</t>
  </si>
  <si>
    <t>Giovanni Simeone - 14</t>
  </si>
  <si>
    <t>Marco Sportiello</t>
  </si>
  <si>
    <t>Mario Gómez - 8</t>
  </si>
  <si>
    <t>Ángel Rodríguez - 13</t>
  </si>
  <si>
    <t>Vicente Guaita</t>
  </si>
  <si>
    <t>Malcom - 12</t>
  </si>
  <si>
    <t>Jonathan Bamba, Rémy Cabella... - 7</t>
  </si>
  <si>
    <t>Sébastien Haller - 9</t>
  </si>
  <si>
    <t>Lukáš Hrádecký</t>
  </si>
  <si>
    <t>Iago Falque - 12</t>
  </si>
  <si>
    <t>Mario Balotelli - 18</t>
  </si>
  <si>
    <t>Walter Benítez</t>
  </si>
  <si>
    <t>Chris Wood - 10</t>
  </si>
  <si>
    <t>Nick Pope</t>
  </si>
  <si>
    <t>Fabio Quagliarella - 19</t>
  </si>
  <si>
    <t>Thorgan Hazard - 10</t>
  </si>
  <si>
    <t>Yann Sommer</t>
  </si>
  <si>
    <t>Emiliano Sala - 12</t>
  </si>
  <si>
    <t>Ciprian Tătărușanu</t>
  </si>
  <si>
    <t>Giovanni Sio - 10</t>
  </si>
  <si>
    <t>Benjamin Lecomte</t>
  </si>
  <si>
    <t>Charles, Kiké - 8</t>
  </si>
  <si>
    <t>Marko Dmitrović</t>
  </si>
  <si>
    <t>Cristhian Stuani - 21</t>
  </si>
  <si>
    <t>Yassine Bounou</t>
  </si>
  <si>
    <t>Willian José - 15</t>
  </si>
  <si>
    <t>Gerónimo Rulli</t>
  </si>
  <si>
    <t>Iago Aspas - 22</t>
  </si>
  <si>
    <t>Rubén Blanco</t>
  </si>
  <si>
    <t>Gerard Moreno - 16</t>
  </si>
  <si>
    <t>Pau López</t>
  </si>
  <si>
    <t>Wayne Rooney - 10</t>
  </si>
  <si>
    <t>Jordan Pickford</t>
  </si>
  <si>
    <t>Salomon Kalou - 12</t>
  </si>
  <si>
    <t>Rune Jarstein</t>
  </si>
  <si>
    <t>Júlio Tavares - 12</t>
  </si>
  <si>
    <t>Baptiste Reynet</t>
  </si>
  <si>
    <t>Max Kruse - 6</t>
  </si>
  <si>
    <t>Jiří Pavlenka</t>
  </si>
  <si>
    <t>Jamie Vardy - 20</t>
  </si>
  <si>
    <t>Kasper Schmeichel</t>
  </si>
  <si>
    <t>Munir El Haddadi - 10</t>
  </si>
  <si>
    <t>Fernando Pacheco</t>
  </si>
  <si>
    <t>Jimmy Briand - 11</t>
  </si>
  <si>
    <t>Karl-Johan Johnsson</t>
  </si>
  <si>
    <t>Michael Gregoritsch - 13</t>
  </si>
  <si>
    <t>José Luis Morales - 10</t>
  </si>
  <si>
    <t>Oier Olazábal</t>
  </si>
  <si>
    <t>Moussa Konaté - 13</t>
  </si>
  <si>
    <t>Régis Gurtner</t>
  </si>
  <si>
    <t>Ayoze Pérez - 8</t>
  </si>
  <si>
    <t>Rob Elliot</t>
  </si>
  <si>
    <t>Luka Milivojević - 10</t>
  </si>
  <si>
    <t>Wayne Hennessey</t>
  </si>
  <si>
    <t>Joshua King, Callum Wilson - 8</t>
  </si>
  <si>
    <t>Niclas Füllkrug - 14</t>
  </si>
  <si>
    <t>Philipp Tschauner</t>
  </si>
  <si>
    <t>Raúl García - 10</t>
  </si>
  <si>
    <t>Kepa Arrizabalaga</t>
  </si>
  <si>
    <t>Gabriel - 5</t>
  </si>
  <si>
    <t>Iván Cuéllar</t>
  </si>
  <si>
    <t>Matteo Politano - 10</t>
  </si>
  <si>
    <t>Marko Arnautović - 11</t>
  </si>
  <si>
    <t>Joe Hart, Adrián</t>
  </si>
  <si>
    <t>Gianluca Lapadula - 6</t>
  </si>
  <si>
    <t>Karl Toko Ekambi - 17</t>
  </si>
  <si>
    <t>Ludovic Butelle</t>
  </si>
  <si>
    <t>Abdoulaye Doucouré - 7</t>
  </si>
  <si>
    <t>Yoshinori Mutō - 8</t>
  </si>
  <si>
    <t>Robin Zentner</t>
  </si>
  <si>
    <t>Nils Petersen - 15</t>
  </si>
  <si>
    <t>Alexander Schwolow</t>
  </si>
  <si>
    <t>Kevin Lasagna - 12</t>
  </si>
  <si>
    <t>Albano Bizzarri</t>
  </si>
  <si>
    <t>Glenn Murray - 12</t>
  </si>
  <si>
    <t>Mathew Ryan</t>
  </si>
  <si>
    <t>Roberto Inglese - 12</t>
  </si>
  <si>
    <t>Simone Verdi - 10</t>
  </si>
  <si>
    <t>Leonardo Pavoletti - 11</t>
  </si>
  <si>
    <t>Alessio Cragno</t>
  </si>
  <si>
    <t>Mirco Antenucci - 11</t>
  </si>
  <si>
    <t>Alfred Gomis</t>
  </si>
  <si>
    <t>Stéphane Bahoken - 7</t>
  </si>
  <si>
    <t>Bingourou Kamara</t>
  </si>
  <si>
    <t>Ivan Santini - 11</t>
  </si>
  <si>
    <t>Rémy Vercoutre</t>
  </si>
  <si>
    <t>Nicolas Pépé - 13</t>
  </si>
  <si>
    <t>Mike Maignan</t>
  </si>
  <si>
    <t>Daniel Didavi - 9</t>
  </si>
  <si>
    <t>Max Gradel - 8</t>
  </si>
  <si>
    <t>Alban Lafont</t>
  </si>
  <si>
    <t>Steve Mounié - 7</t>
  </si>
  <si>
    <t>Jonas Lössl</t>
  </si>
  <si>
    <t>Charlie Austin - 7</t>
  </si>
  <si>
    <t>Fraser Forster</t>
  </si>
  <si>
    <t>Marcello Trotta, Simeon Nwankwo - 7</t>
  </si>
  <si>
    <t>Alex Cordaz</t>
  </si>
  <si>
    <t>Lewis Holtby - 6</t>
  </si>
  <si>
    <t>Christian Mathenia</t>
  </si>
  <si>
    <t>Adama Niane - 8</t>
  </si>
  <si>
    <t>Mamadou Samassa</t>
  </si>
  <si>
    <t>Jordan Ayew - 7</t>
  </si>
  <si>
    <t>Łukasz Fabiański</t>
  </si>
  <si>
    <t>Xherdan Shaqiri - 8</t>
  </si>
  <si>
    <t>Jack Butland</t>
  </si>
  <si>
    <t>Jay Rodriguez, Salomón Rondón - 7</t>
  </si>
  <si>
    <t>Adrián López - 9</t>
  </si>
  <si>
    <t>Nolan Roux - 15</t>
  </si>
  <si>
    <t>Eiji Kawashima</t>
  </si>
  <si>
    <t>Moise Kean, Giampaolo Pazzini - 4</t>
  </si>
  <si>
    <t>Nícolas Andrade</t>
  </si>
  <si>
    <t>Leonardo Bittencourt, Simon Terodde - 5</t>
  </si>
  <si>
    <t>Timo Horn</t>
  </si>
  <si>
    <t>Jonathan Calleri - 9</t>
  </si>
  <si>
    <t>Leandro Chichizola</t>
  </si>
  <si>
    <t>Cheick Diabaté - 8</t>
  </si>
  <si>
    <t>Diego Rolán - 5</t>
  </si>
  <si>
    <t>RB Leipzig</t>
  </si>
  <si>
    <t>Eibar</t>
  </si>
  <si>
    <t>Girona</t>
  </si>
  <si>
    <t>Dijon</t>
  </si>
  <si>
    <t>Amiens</t>
  </si>
  <si>
    <t>Bournemouth</t>
  </si>
  <si>
    <t>Leganés</t>
  </si>
  <si>
    <t>Watford</t>
  </si>
  <si>
    <t>Brighton</t>
  </si>
  <si>
    <t>SPAL</t>
  </si>
  <si>
    <t>Huddersfield</t>
  </si>
  <si>
    <t>Crotone</t>
  </si>
  <si>
    <t>Benevento</t>
  </si>
  <si>
    <t>Kevin De Bruyne - 15</t>
  </si>
  <si>
    <t>Mohamed Salah - 23</t>
  </si>
  <si>
    <t>Robert Lewandowski - 35</t>
  </si>
  <si>
    <t>Kylian Mbappé - 28</t>
  </si>
  <si>
    <t>Karim Benzema - 27</t>
  </si>
  <si>
    <t>Olivier Giroud, Rafael Leão - 11</t>
  </si>
  <si>
    <t>Lautaro Martínez - 21</t>
  </si>
  <si>
    <t>Victor Osimhen - 14</t>
  </si>
  <si>
    <t>Erling Haaland - 22</t>
  </si>
  <si>
    <t>Gregor Kobel</t>
  </si>
  <si>
    <t>Mason Mount - 11</t>
  </si>
  <si>
    <t>Edouard Mendy</t>
  </si>
  <si>
    <t>Memphis - 12</t>
  </si>
  <si>
    <t>Patrik Schick - 24</t>
  </si>
  <si>
    <t>Son Heung-min - 23</t>
  </si>
  <si>
    <t>Dimitri Payet - 12</t>
  </si>
  <si>
    <t>Ángel Correa - 12</t>
  </si>
  <si>
    <t>Rafa Mir - 10</t>
  </si>
  <si>
    <t>Paulo Dybala - 10</t>
  </si>
  <si>
    <t>Wissam Ben Yedder - 25</t>
  </si>
  <si>
    <t>Alexander Nübel</t>
  </si>
  <si>
    <t>Bukayo Saka - 11</t>
  </si>
  <si>
    <t>Aaron Ramsdale</t>
  </si>
  <si>
    <t>Martin Terrier - 21</t>
  </si>
  <si>
    <t>Andy Delort - 16</t>
  </si>
  <si>
    <t>Christopher Nkunku - 20</t>
  </si>
  <si>
    <t>Juanmi - 16</t>
  </si>
  <si>
    <t>Rui Silva</t>
  </si>
  <si>
    <t>Ciro Immobile - 27</t>
  </si>
  <si>
    <t>Taiwo Awoniyi - 15</t>
  </si>
  <si>
    <t>Andreas Luthe</t>
  </si>
  <si>
    <t>Ludovic Ajorque - 12</t>
  </si>
  <si>
    <t>Matz Sels</t>
  </si>
  <si>
    <t>Tammy Abraham - 17</t>
  </si>
  <si>
    <t>Rui Patrício</t>
  </si>
  <si>
    <t>Arnaud Kalimuendo - 12</t>
  </si>
  <si>
    <t>Jean-Louis Leca</t>
  </si>
  <si>
    <t>Dušan Vlahović - 17</t>
  </si>
  <si>
    <t>Pietro Terracciano</t>
  </si>
  <si>
    <t>Mikel Oyarzabal - 9</t>
  </si>
  <si>
    <t>Álex Remiro</t>
  </si>
  <si>
    <t>Vincenzo Grifo - 9</t>
  </si>
  <si>
    <t>Mark Flekken</t>
  </si>
  <si>
    <t>Moussa Dembélé - 21</t>
  </si>
  <si>
    <t>Arnaut Danjuma - 10</t>
  </si>
  <si>
    <t>Mario Pašalić - 13</t>
  </si>
  <si>
    <t>Juan Musso</t>
  </si>
  <si>
    <t>Anthony Modeste - 20</t>
  </si>
  <si>
    <t>Marvin Schwäbe</t>
  </si>
  <si>
    <t>Cristiano Ronaldo - 18</t>
  </si>
  <si>
    <t>Jarrod Bowen - 12</t>
  </si>
  <si>
    <t>Iñaki Williams - 8</t>
  </si>
  <si>
    <t>Unai Simón</t>
  </si>
  <si>
    <t>Randal Kolo Muani - 12</t>
  </si>
  <si>
    <t>Jonathan David - 15</t>
  </si>
  <si>
    <t>Ivo Grbić</t>
  </si>
  <si>
    <t>Giovanni Simeone - 17</t>
  </si>
  <si>
    <t>Lorenzo Montipò</t>
  </si>
  <si>
    <t>Jamie Vardy - 15</t>
  </si>
  <si>
    <t>Jonathan Burkardt - 11</t>
  </si>
  <si>
    <t>Georginio Rutter - 8</t>
  </si>
  <si>
    <t>Leandro Trossard, Neal Maupay - 8</t>
  </si>
  <si>
    <t>Robert Sánchez</t>
  </si>
  <si>
    <t>Raúl Jiménez - 6</t>
  </si>
  <si>
    <t>José Sá</t>
  </si>
  <si>
    <t>Andrea Belotti - 8</t>
  </si>
  <si>
    <t>Vanja Milinković-Savić</t>
  </si>
  <si>
    <t>Gianluca Scamacca - 16</t>
  </si>
  <si>
    <t>Jonas Hofmann - 12</t>
  </si>
  <si>
    <t>Callum Wilson - 8</t>
  </si>
  <si>
    <t>Martin Dúbravka</t>
  </si>
  <si>
    <t>Wilfried Zaha - 14</t>
  </si>
  <si>
    <t>Gonçalo Guedes, Carlos Soler - 11</t>
  </si>
  <si>
    <t>Giorgi Mamardashvili</t>
  </si>
  <si>
    <t>Franck Honorat - 11</t>
  </si>
  <si>
    <t>Marco Bizot</t>
  </si>
  <si>
    <t>Gerard Deulofeu - 13</t>
  </si>
  <si>
    <t>Marco Silvestri</t>
  </si>
  <si>
    <t>Rafael Borré - 8</t>
  </si>
  <si>
    <t>Lukas Nmecha - 8</t>
  </si>
  <si>
    <t>Ante Budimir - 8</t>
  </si>
  <si>
    <t>Sergio Herrera</t>
  </si>
  <si>
    <t>Sebastian Polter - 10</t>
  </si>
  <si>
    <t>Manuel Riemann</t>
  </si>
  <si>
    <t>Iago Aspas - 18</t>
  </si>
  <si>
    <t>Matías Dituro</t>
  </si>
  <si>
    <t>Hugo Ekitike - 10</t>
  </si>
  <si>
    <t>Predrag Rajković</t>
  </si>
  <si>
    <t>Ivan Toney - 12</t>
  </si>
  <si>
    <t>David Raya</t>
  </si>
  <si>
    <t>Marko Arnautović - 14</t>
  </si>
  <si>
    <t>Łukasz Skorupski</t>
  </si>
  <si>
    <t>Ollie Watkins - 11</t>
  </si>
  <si>
    <t>Emiliano Martínez</t>
  </si>
  <si>
    <t>Elye Wahi - 10</t>
  </si>
  <si>
    <t>Jonas Omlin</t>
  </si>
  <si>
    <t>Michael Gregoritsch - 9</t>
  </si>
  <si>
    <t>Rafał Gikiewicz</t>
  </si>
  <si>
    <t>Sergi Guardiola - 8</t>
  </si>
  <si>
    <t>Stole Dimitrievski</t>
  </si>
  <si>
    <t>Pere Milla - 8</t>
  </si>
  <si>
    <t>Édgar Badía</t>
  </si>
  <si>
    <t>Raúl de Tomás - 17</t>
  </si>
  <si>
    <t>Sofiane Boufal - 8</t>
  </si>
  <si>
    <t>Danijel Petković</t>
  </si>
  <si>
    <t>Andrea Pinamonti - 13</t>
  </si>
  <si>
    <t>Guglielmo Vicario</t>
  </si>
  <si>
    <t>James Ward-Prowse - 10</t>
  </si>
  <si>
    <t>Enes Ünal - 16</t>
  </si>
  <si>
    <t>David Soria</t>
  </si>
  <si>
    <t>Anthony Lozano, Álvaro Negredo - 7</t>
  </si>
  <si>
    <t>Jeremías Ledesma</t>
  </si>
  <si>
    <t>Richarlison - 10</t>
  </si>
  <si>
    <t>Vedat Muriqi, Salva Sevilla - 5</t>
  </si>
  <si>
    <t>Manolo Reina</t>
  </si>
  <si>
    <t>Xavier Chavalerin, Ike Ugbo - 5</t>
  </si>
  <si>
    <t>Gauthier Gallon</t>
  </si>
  <si>
    <t>Jorge Molina - 10</t>
  </si>
  <si>
    <t>Luís Maximiano</t>
  </si>
  <si>
    <t>Raphinha - 11</t>
  </si>
  <si>
    <t>Illan Meslier</t>
  </si>
  <si>
    <t>Sasa Kalajdzic - 6</t>
  </si>
  <si>
    <t>Florian Müller</t>
  </si>
  <si>
    <t>Stevan Jovetić - 6</t>
  </si>
  <si>
    <t>Francesco Caputo - 11</t>
  </si>
  <si>
    <t>Emil Audero</t>
  </si>
  <si>
    <t>Terem Moffi - 8</t>
  </si>
  <si>
    <t>Paul Nardi</t>
  </si>
  <si>
    <t>Daniele Verde - 8</t>
  </si>
  <si>
    <t>Ivan Provedel</t>
  </si>
  <si>
    <t>Mohamed Lamine Bayo - 14</t>
  </si>
  <si>
    <t>Ouparine Djoco</t>
  </si>
  <si>
    <t>Maxwel Cornet - 9</t>
  </si>
  <si>
    <t>José Luis Morales - 13</t>
  </si>
  <si>
    <t>Dani Cárdenas</t>
  </si>
  <si>
    <t>Wahbi Khazri - 10</t>
  </si>
  <si>
    <t>Paul Bernardoni</t>
  </si>
  <si>
    <t>Masaya Okugawa - 8</t>
  </si>
  <si>
    <t>Stefan Ortega</t>
  </si>
  <si>
    <t>Joselu - 14</t>
  </si>
  <si>
    <t>Nicolas de Préville - 5</t>
  </si>
  <si>
    <t>Alexandre Oukidja</t>
  </si>
  <si>
    <t>Hwang Ui-jo - 11</t>
  </si>
  <si>
    <t>Federico Bonazzoli - 10</t>
  </si>
  <si>
    <t>Vid Belec</t>
  </si>
  <si>
    <t>João Pedro - 13</t>
  </si>
  <si>
    <t>Mattia Destro - 9</t>
  </si>
  <si>
    <t>Thomas Henry - 9</t>
  </si>
  <si>
    <t>Niki Mäenpää</t>
  </si>
  <si>
    <t>Emmanuel Dennis - 10</t>
  </si>
  <si>
    <t>Teemu Pukki - 11</t>
  </si>
  <si>
    <t>Branimir Hrgota - 9</t>
  </si>
  <si>
    <t>Sascha Burchert</t>
  </si>
  <si>
    <t>Union Berlin</t>
  </si>
  <si>
    <t>Brest</t>
  </si>
  <si>
    <t>Brentford</t>
  </si>
  <si>
    <t>Spezia</t>
  </si>
  <si>
    <t>Clermont Foot</t>
  </si>
  <si>
    <t>Salernitana</t>
  </si>
  <si>
    <t>Greuther Fürth</t>
  </si>
  <si>
    <t>League</t>
  </si>
  <si>
    <t>Premier League</t>
  </si>
  <si>
    <t>La Liga</t>
  </si>
  <si>
    <t>Serie A</t>
  </si>
  <si>
    <t>Bundesliga</t>
  </si>
  <si>
    <t>Ligue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</si>
</sst>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14D2-1D89-6643-8919-5876CBA0AEE8}">
  <dimension ref="A1:B99"/>
  <sheetViews>
    <sheetView workbookViewId="0">
      <selection activeCell="B4" sqref="B4"/>
    </sheetView>
  </sheetViews>
  <sheetFormatPr baseColWidth="10" defaultRowHeight="16" x14ac:dyDescent="0.2"/>
  <cols>
    <col min="1" max="1" width="13.1640625" bestFit="1" customWidth="1"/>
    <col min="2" max="2" width="23.6640625" bestFit="1" customWidth="1"/>
  </cols>
  <sheetData>
    <row r="1" spans="1:2" x14ac:dyDescent="0.2">
      <c r="A1" t="s">
        <v>1371</v>
      </c>
      <c r="B1" t="s">
        <v>132</v>
      </c>
    </row>
    <row r="2" spans="1:2" x14ac:dyDescent="0.2">
      <c r="A2" t="s">
        <v>1372</v>
      </c>
      <c r="B2" t="s">
        <v>0</v>
      </c>
    </row>
    <row r="3" spans="1:2" x14ac:dyDescent="0.2">
      <c r="A3" t="s">
        <v>1372</v>
      </c>
      <c r="B3" t="s">
        <v>1</v>
      </c>
    </row>
    <row r="4" spans="1:2" x14ac:dyDescent="0.2">
      <c r="A4" t="s">
        <v>1372</v>
      </c>
      <c r="B4" t="s">
        <v>2</v>
      </c>
    </row>
    <row r="5" spans="1:2" x14ac:dyDescent="0.2">
      <c r="A5" t="s">
        <v>1372</v>
      </c>
      <c r="B5" t="s">
        <v>4</v>
      </c>
    </row>
    <row r="6" spans="1:2" x14ac:dyDescent="0.2">
      <c r="A6" t="s">
        <v>1372</v>
      </c>
      <c r="B6" t="s">
        <v>5</v>
      </c>
    </row>
    <row r="7" spans="1:2" x14ac:dyDescent="0.2">
      <c r="A7" t="s">
        <v>1372</v>
      </c>
      <c r="B7" t="s">
        <v>6</v>
      </c>
    </row>
    <row r="8" spans="1:2" x14ac:dyDescent="0.2">
      <c r="A8" t="s">
        <v>1372</v>
      </c>
      <c r="B8" t="s">
        <v>7</v>
      </c>
    </row>
    <row r="9" spans="1:2" x14ac:dyDescent="0.2">
      <c r="A9" t="s">
        <v>1372</v>
      </c>
      <c r="B9" t="s">
        <v>8</v>
      </c>
    </row>
    <row r="10" spans="1:2" x14ac:dyDescent="0.2">
      <c r="A10" t="s">
        <v>1372</v>
      </c>
      <c r="B10" t="s">
        <v>9</v>
      </c>
    </row>
    <row r="11" spans="1:2" x14ac:dyDescent="0.2">
      <c r="A11" t="s">
        <v>1372</v>
      </c>
      <c r="B11" t="s">
        <v>10</v>
      </c>
    </row>
    <row r="12" spans="1:2" x14ac:dyDescent="0.2">
      <c r="A12" t="s">
        <v>1372</v>
      </c>
      <c r="B12" t="s">
        <v>11</v>
      </c>
    </row>
    <row r="13" spans="1:2" x14ac:dyDescent="0.2">
      <c r="A13" t="s">
        <v>1372</v>
      </c>
      <c r="B13" t="s">
        <v>12</v>
      </c>
    </row>
    <row r="14" spans="1:2" x14ac:dyDescent="0.2">
      <c r="A14" t="s">
        <v>1372</v>
      </c>
      <c r="B14" t="s">
        <v>13</v>
      </c>
    </row>
    <row r="15" spans="1:2" x14ac:dyDescent="0.2">
      <c r="A15" t="s">
        <v>1372</v>
      </c>
      <c r="B15" t="s">
        <v>14</v>
      </c>
    </row>
    <row r="16" spans="1:2" x14ac:dyDescent="0.2">
      <c r="A16" t="s">
        <v>1372</v>
      </c>
      <c r="B16" t="s">
        <v>15</v>
      </c>
    </row>
    <row r="17" spans="1:2" x14ac:dyDescent="0.2">
      <c r="A17" t="s">
        <v>1372</v>
      </c>
      <c r="B17" t="s">
        <v>16</v>
      </c>
    </row>
    <row r="18" spans="1:2" x14ac:dyDescent="0.2">
      <c r="A18" t="s">
        <v>1372</v>
      </c>
      <c r="B18" t="s">
        <v>17</v>
      </c>
    </row>
    <row r="19" spans="1:2" x14ac:dyDescent="0.2">
      <c r="A19" t="s">
        <v>1372</v>
      </c>
      <c r="B19" t="s">
        <v>18</v>
      </c>
    </row>
    <row r="20" spans="1:2" x14ac:dyDescent="0.2">
      <c r="A20" t="s">
        <v>1372</v>
      </c>
      <c r="B20" t="s">
        <v>19</v>
      </c>
    </row>
    <row r="21" spans="1:2" x14ac:dyDescent="0.2">
      <c r="A21" t="s">
        <v>1372</v>
      </c>
      <c r="B21" t="s">
        <v>20</v>
      </c>
    </row>
    <row r="22" spans="1:2" x14ac:dyDescent="0.2">
      <c r="A22" t="s">
        <v>1372</v>
      </c>
      <c r="B22" t="s">
        <v>21</v>
      </c>
    </row>
    <row r="23" spans="1:2" x14ac:dyDescent="0.2">
      <c r="A23" t="s">
        <v>1372</v>
      </c>
      <c r="B23" t="s">
        <v>22</v>
      </c>
    </row>
    <row r="24" spans="1:2" x14ac:dyDescent="0.2">
      <c r="A24" t="s">
        <v>1373</v>
      </c>
      <c r="B24" t="s">
        <v>23</v>
      </c>
    </row>
    <row r="25" spans="1:2" x14ac:dyDescent="0.2">
      <c r="A25" t="s">
        <v>1373</v>
      </c>
      <c r="B25" t="s">
        <v>24</v>
      </c>
    </row>
    <row r="26" spans="1:2" x14ac:dyDescent="0.2">
      <c r="A26" t="s">
        <v>1373</v>
      </c>
      <c r="B26" t="s">
        <v>25</v>
      </c>
    </row>
    <row r="27" spans="1:2" x14ac:dyDescent="0.2">
      <c r="A27" t="s">
        <v>1373</v>
      </c>
      <c r="B27" t="s">
        <v>26</v>
      </c>
    </row>
    <row r="28" spans="1:2" x14ac:dyDescent="0.2">
      <c r="A28" t="s">
        <v>1373</v>
      </c>
      <c r="B28" t="s">
        <v>27</v>
      </c>
    </row>
    <row r="29" spans="1:2" x14ac:dyDescent="0.2">
      <c r="A29" t="s">
        <v>1373</v>
      </c>
      <c r="B29" t="s">
        <v>28</v>
      </c>
    </row>
    <row r="30" spans="1:2" x14ac:dyDescent="0.2">
      <c r="A30" t="s">
        <v>1373</v>
      </c>
      <c r="B30" t="s">
        <v>29</v>
      </c>
    </row>
    <row r="31" spans="1:2" x14ac:dyDescent="0.2">
      <c r="A31" t="s">
        <v>1373</v>
      </c>
      <c r="B31" t="s">
        <v>30</v>
      </c>
    </row>
    <row r="32" spans="1:2" x14ac:dyDescent="0.2">
      <c r="A32" t="s">
        <v>1373</v>
      </c>
      <c r="B32" t="s">
        <v>31</v>
      </c>
    </row>
    <row r="33" spans="1:2" x14ac:dyDescent="0.2">
      <c r="A33" t="s">
        <v>1373</v>
      </c>
      <c r="B33" t="s">
        <v>32</v>
      </c>
    </row>
    <row r="34" spans="1:2" x14ac:dyDescent="0.2">
      <c r="A34" t="s">
        <v>1373</v>
      </c>
      <c r="B34" t="s">
        <v>33</v>
      </c>
    </row>
    <row r="35" spans="1:2" x14ac:dyDescent="0.2">
      <c r="A35" t="s">
        <v>1373</v>
      </c>
      <c r="B35" t="s">
        <v>34</v>
      </c>
    </row>
    <row r="36" spans="1:2" x14ac:dyDescent="0.2">
      <c r="A36" t="s">
        <v>1373</v>
      </c>
      <c r="B36" t="s">
        <v>35</v>
      </c>
    </row>
    <row r="37" spans="1:2" x14ac:dyDescent="0.2">
      <c r="A37" t="s">
        <v>1373</v>
      </c>
      <c r="B37" t="s">
        <v>36</v>
      </c>
    </row>
    <row r="38" spans="1:2" x14ac:dyDescent="0.2">
      <c r="A38" t="s">
        <v>1373</v>
      </c>
      <c r="B38" t="s">
        <v>37</v>
      </c>
    </row>
    <row r="39" spans="1:2" x14ac:dyDescent="0.2">
      <c r="A39" t="s">
        <v>1373</v>
      </c>
      <c r="B39" t="s">
        <v>38</v>
      </c>
    </row>
    <row r="40" spans="1:2" x14ac:dyDescent="0.2">
      <c r="A40" t="s">
        <v>1373</v>
      </c>
      <c r="B40" t="s">
        <v>39</v>
      </c>
    </row>
    <row r="41" spans="1:2" x14ac:dyDescent="0.2">
      <c r="A41" t="s">
        <v>1373</v>
      </c>
      <c r="B41" t="s">
        <v>40</v>
      </c>
    </row>
    <row r="42" spans="1:2" x14ac:dyDescent="0.2">
      <c r="A42" t="s">
        <v>1373</v>
      </c>
      <c r="B42" t="s">
        <v>41</v>
      </c>
    </row>
    <row r="43" spans="1:2" x14ac:dyDescent="0.2">
      <c r="A43" t="s">
        <v>1373</v>
      </c>
      <c r="B43" t="s">
        <v>42</v>
      </c>
    </row>
    <row r="44" spans="1:2" x14ac:dyDescent="0.2">
      <c r="A44" t="s">
        <v>1374</v>
      </c>
      <c r="B44" t="s">
        <v>43</v>
      </c>
    </row>
    <row r="45" spans="1:2" x14ac:dyDescent="0.2">
      <c r="A45" t="s">
        <v>1374</v>
      </c>
      <c r="B45" t="s">
        <v>44</v>
      </c>
    </row>
    <row r="46" spans="1:2" x14ac:dyDescent="0.2">
      <c r="A46" t="s">
        <v>1374</v>
      </c>
      <c r="B46" t="s">
        <v>45</v>
      </c>
    </row>
    <row r="47" spans="1:2" x14ac:dyDescent="0.2">
      <c r="A47" t="s">
        <v>1374</v>
      </c>
      <c r="B47" t="s">
        <v>46</v>
      </c>
    </row>
    <row r="48" spans="1:2" x14ac:dyDescent="0.2">
      <c r="A48" t="s">
        <v>1374</v>
      </c>
      <c r="B48" t="s">
        <v>47</v>
      </c>
    </row>
    <row r="49" spans="1:2" x14ac:dyDescent="0.2">
      <c r="A49" t="s">
        <v>1374</v>
      </c>
      <c r="B49" t="s">
        <v>48</v>
      </c>
    </row>
    <row r="50" spans="1:2" x14ac:dyDescent="0.2">
      <c r="A50" t="s">
        <v>1374</v>
      </c>
      <c r="B50" t="s">
        <v>49</v>
      </c>
    </row>
    <row r="51" spans="1:2" x14ac:dyDescent="0.2">
      <c r="A51" t="s">
        <v>1374</v>
      </c>
      <c r="B51" t="s">
        <v>50</v>
      </c>
    </row>
    <row r="52" spans="1:2" x14ac:dyDescent="0.2">
      <c r="A52" t="s">
        <v>1374</v>
      </c>
      <c r="B52" t="s">
        <v>51</v>
      </c>
    </row>
    <row r="53" spans="1:2" x14ac:dyDescent="0.2">
      <c r="A53" t="s">
        <v>1374</v>
      </c>
      <c r="B53" t="s">
        <v>52</v>
      </c>
    </row>
    <row r="54" spans="1:2" x14ac:dyDescent="0.2">
      <c r="A54" t="s">
        <v>1374</v>
      </c>
      <c r="B54" t="s">
        <v>53</v>
      </c>
    </row>
    <row r="55" spans="1:2" x14ac:dyDescent="0.2">
      <c r="A55" t="s">
        <v>1374</v>
      </c>
      <c r="B55" t="s">
        <v>54</v>
      </c>
    </row>
    <row r="56" spans="1:2" x14ac:dyDescent="0.2">
      <c r="A56" t="s">
        <v>1374</v>
      </c>
      <c r="B56" t="s">
        <v>55</v>
      </c>
    </row>
    <row r="57" spans="1:2" x14ac:dyDescent="0.2">
      <c r="A57" t="s">
        <v>1374</v>
      </c>
      <c r="B57" t="s">
        <v>56</v>
      </c>
    </row>
    <row r="58" spans="1:2" x14ac:dyDescent="0.2">
      <c r="A58" t="s">
        <v>1374</v>
      </c>
      <c r="B58" t="s">
        <v>57</v>
      </c>
    </row>
    <row r="59" spans="1:2" x14ac:dyDescent="0.2">
      <c r="A59" t="s">
        <v>1374</v>
      </c>
      <c r="B59" t="s">
        <v>58</v>
      </c>
    </row>
    <row r="60" spans="1:2" x14ac:dyDescent="0.2">
      <c r="A60" t="s">
        <v>1374</v>
      </c>
      <c r="B60" t="s">
        <v>59</v>
      </c>
    </row>
    <row r="61" spans="1:2" x14ac:dyDescent="0.2">
      <c r="A61" t="s">
        <v>1374</v>
      </c>
      <c r="B61" t="s">
        <v>60</v>
      </c>
    </row>
    <row r="62" spans="1:2" x14ac:dyDescent="0.2">
      <c r="A62" t="s">
        <v>1375</v>
      </c>
      <c r="B62" t="s">
        <v>61</v>
      </c>
    </row>
    <row r="63" spans="1:2" x14ac:dyDescent="0.2">
      <c r="A63" t="s">
        <v>1375</v>
      </c>
      <c r="B63" t="s">
        <v>63</v>
      </c>
    </row>
    <row r="64" spans="1:2" x14ac:dyDescent="0.2">
      <c r="A64" t="s">
        <v>1375</v>
      </c>
      <c r="B64" t="s">
        <v>64</v>
      </c>
    </row>
    <row r="65" spans="1:2" x14ac:dyDescent="0.2">
      <c r="A65" t="s">
        <v>1375</v>
      </c>
      <c r="B65" t="s">
        <v>66</v>
      </c>
    </row>
    <row r="66" spans="1:2" x14ac:dyDescent="0.2">
      <c r="A66" t="s">
        <v>1375</v>
      </c>
      <c r="B66" t="s">
        <v>67</v>
      </c>
    </row>
    <row r="67" spans="1:2" x14ac:dyDescent="0.2">
      <c r="A67" t="s">
        <v>1375</v>
      </c>
      <c r="B67" t="s">
        <v>68</v>
      </c>
    </row>
    <row r="68" spans="1:2" x14ac:dyDescent="0.2">
      <c r="A68" t="s">
        <v>1375</v>
      </c>
      <c r="B68" t="s">
        <v>69</v>
      </c>
    </row>
    <row r="69" spans="1:2" x14ac:dyDescent="0.2">
      <c r="A69" t="s">
        <v>1375</v>
      </c>
      <c r="B69" t="s">
        <v>71</v>
      </c>
    </row>
    <row r="70" spans="1:2" x14ac:dyDescent="0.2">
      <c r="A70" t="s">
        <v>1375</v>
      </c>
      <c r="B70" t="s">
        <v>72</v>
      </c>
    </row>
    <row r="71" spans="1:2" x14ac:dyDescent="0.2">
      <c r="A71" t="s">
        <v>1375</v>
      </c>
      <c r="B71" t="s">
        <v>74</v>
      </c>
    </row>
    <row r="72" spans="1:2" x14ac:dyDescent="0.2">
      <c r="A72" t="s">
        <v>1375</v>
      </c>
      <c r="B72" t="s">
        <v>75</v>
      </c>
    </row>
    <row r="73" spans="1:2" x14ac:dyDescent="0.2">
      <c r="A73" t="s">
        <v>1375</v>
      </c>
      <c r="B73" t="s">
        <v>76</v>
      </c>
    </row>
    <row r="74" spans="1:2" x14ac:dyDescent="0.2">
      <c r="A74" t="s">
        <v>1375</v>
      </c>
      <c r="B74" t="s">
        <v>77</v>
      </c>
    </row>
    <row r="75" spans="1:2" x14ac:dyDescent="0.2">
      <c r="A75" t="s">
        <v>1375</v>
      </c>
      <c r="B75" t="s">
        <v>78</v>
      </c>
    </row>
    <row r="76" spans="1:2" x14ac:dyDescent="0.2">
      <c r="A76" t="s">
        <v>1375</v>
      </c>
      <c r="B76" t="s">
        <v>79</v>
      </c>
    </row>
    <row r="77" spans="1:2" x14ac:dyDescent="0.2">
      <c r="A77" t="s">
        <v>1375</v>
      </c>
      <c r="B77" t="s">
        <v>80</v>
      </c>
    </row>
    <row r="78" spans="1:2" x14ac:dyDescent="0.2">
      <c r="A78" t="s">
        <v>1375</v>
      </c>
      <c r="B78" t="s">
        <v>82</v>
      </c>
    </row>
    <row r="79" spans="1:2" x14ac:dyDescent="0.2">
      <c r="A79" t="s">
        <v>1375</v>
      </c>
      <c r="B79" t="s">
        <v>84</v>
      </c>
    </row>
    <row r="80" spans="1:2" x14ac:dyDescent="0.2">
      <c r="A80" t="s">
        <v>1376</v>
      </c>
      <c r="B80" t="s">
        <v>100</v>
      </c>
    </row>
    <row r="81" spans="1:2" x14ac:dyDescent="0.2">
      <c r="A81" t="s">
        <v>1376</v>
      </c>
      <c r="B81" t="s">
        <v>101</v>
      </c>
    </row>
    <row r="82" spans="1:2" x14ac:dyDescent="0.2">
      <c r="A82" t="s">
        <v>1376</v>
      </c>
      <c r="B82" t="s">
        <v>102</v>
      </c>
    </row>
    <row r="83" spans="1:2" x14ac:dyDescent="0.2">
      <c r="A83" t="s">
        <v>1376</v>
      </c>
      <c r="B83" t="s">
        <v>85</v>
      </c>
    </row>
    <row r="84" spans="1:2" x14ac:dyDescent="0.2">
      <c r="A84" t="s">
        <v>1376</v>
      </c>
      <c r="B84" t="s">
        <v>86</v>
      </c>
    </row>
    <row r="85" spans="1:2" x14ac:dyDescent="0.2">
      <c r="A85" t="s">
        <v>1376</v>
      </c>
      <c r="B85" t="s">
        <v>87</v>
      </c>
    </row>
    <row r="86" spans="1:2" x14ac:dyDescent="0.2">
      <c r="A86" t="s">
        <v>1376</v>
      </c>
      <c r="B86" t="s">
        <v>88</v>
      </c>
    </row>
    <row r="87" spans="1:2" x14ac:dyDescent="0.2">
      <c r="A87" t="s">
        <v>1376</v>
      </c>
      <c r="B87" t="s">
        <v>89</v>
      </c>
    </row>
    <row r="88" spans="1:2" x14ac:dyDescent="0.2">
      <c r="A88" t="s">
        <v>1376</v>
      </c>
      <c r="B88" t="s">
        <v>90</v>
      </c>
    </row>
    <row r="89" spans="1:2" x14ac:dyDescent="0.2">
      <c r="A89" t="s">
        <v>1376</v>
      </c>
      <c r="B89" t="s">
        <v>91</v>
      </c>
    </row>
    <row r="90" spans="1:2" x14ac:dyDescent="0.2">
      <c r="A90" t="s">
        <v>1376</v>
      </c>
      <c r="B90" t="s">
        <v>92</v>
      </c>
    </row>
    <row r="91" spans="1:2" x14ac:dyDescent="0.2">
      <c r="A91" t="s">
        <v>1376</v>
      </c>
      <c r="B91" t="s">
        <v>93</v>
      </c>
    </row>
    <row r="92" spans="1:2" x14ac:dyDescent="0.2">
      <c r="A92" t="s">
        <v>1376</v>
      </c>
      <c r="B92" t="s">
        <v>94</v>
      </c>
    </row>
    <row r="93" spans="1:2" x14ac:dyDescent="0.2">
      <c r="A93" t="s">
        <v>1376</v>
      </c>
      <c r="B93" t="s">
        <v>95</v>
      </c>
    </row>
    <row r="94" spans="1:2" x14ac:dyDescent="0.2">
      <c r="A94" t="s">
        <v>1376</v>
      </c>
      <c r="B94" t="s">
        <v>96</v>
      </c>
    </row>
    <row r="95" spans="1:2" x14ac:dyDescent="0.2">
      <c r="A95" t="s">
        <v>1376</v>
      </c>
      <c r="B95" t="s">
        <v>97</v>
      </c>
    </row>
    <row r="96" spans="1:2" x14ac:dyDescent="0.2">
      <c r="A96" t="s">
        <v>1376</v>
      </c>
      <c r="B96" t="s">
        <v>98</v>
      </c>
    </row>
    <row r="97" spans="1:2" x14ac:dyDescent="0.2">
      <c r="A97" t="s">
        <v>1376</v>
      </c>
      <c r="B97" t="s">
        <v>99</v>
      </c>
    </row>
    <row r="98" spans="1:2" x14ac:dyDescent="0.2">
      <c r="A98" t="s">
        <v>1376</v>
      </c>
      <c r="B98" t="s">
        <v>103</v>
      </c>
    </row>
    <row r="99" spans="1:2" x14ac:dyDescent="0.2">
      <c r="A99" t="s">
        <v>1376</v>
      </c>
      <c r="B99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C8C0-6B9C-6843-8042-34DDBBC9D9ED}">
  <dimension ref="A1:P95"/>
  <sheetViews>
    <sheetView tabSelected="1" topLeftCell="A3" workbookViewId="0">
      <selection activeCell="D94" sqref="D94"/>
    </sheetView>
  </sheetViews>
  <sheetFormatPr baseColWidth="10" defaultRowHeight="16" x14ac:dyDescent="0.2"/>
  <cols>
    <col min="1" max="1" width="13.1640625" bestFit="1" customWidth="1"/>
  </cols>
  <sheetData>
    <row r="1" spans="1:16" x14ac:dyDescent="0.2">
      <c r="A1" t="s">
        <v>1371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</row>
    <row r="2" spans="1:16" x14ac:dyDescent="0.2">
      <c r="A2" t="str" cm="1">
        <f t="array" ref="A2">_xlfn.IFS(C2="it ITA", "Serie A", C2="eng ENG", "Premier League", C2="de GER", "Bundesliga", C2="es ESP", "La Liga", C2="fr FRA", "Ligue 1")</f>
        <v>Serie A</v>
      </c>
      <c r="B2" s="2" t="s">
        <v>49</v>
      </c>
      <c r="C2" s="2" t="s">
        <v>147</v>
      </c>
      <c r="D2" s="2">
        <v>1</v>
      </c>
      <c r="E2" s="2">
        <v>34</v>
      </c>
      <c r="F2" s="2">
        <v>21</v>
      </c>
      <c r="G2" s="2">
        <v>11</v>
      </c>
      <c r="H2" s="2">
        <v>2</v>
      </c>
      <c r="I2" s="2">
        <v>67</v>
      </c>
      <c r="J2" s="2">
        <v>28</v>
      </c>
      <c r="K2" s="2">
        <v>39</v>
      </c>
      <c r="L2" s="2">
        <v>74</v>
      </c>
      <c r="M2" s="2">
        <v>2.1800000000000002</v>
      </c>
      <c r="N2" s="2"/>
      <c r="O2" s="2" t="s">
        <v>148</v>
      </c>
      <c r="P2" s="2" t="s">
        <v>149</v>
      </c>
    </row>
    <row r="3" spans="1:16" x14ac:dyDescent="0.2">
      <c r="A3" t="str" cm="1">
        <f t="array" ref="A3">_xlfn.IFS(C3="it ITA", "Serie A", C3="eng ENG", "Premier League", C3="de GER", "Bundesliga", C3="es ESP", "La Liga", C3="fr FRA", "Ligue 1")</f>
        <v>Premier League</v>
      </c>
      <c r="B3" s="2" t="s">
        <v>0</v>
      </c>
      <c r="C3" s="2" t="s">
        <v>150</v>
      </c>
      <c r="D3" s="2">
        <v>1</v>
      </c>
      <c r="E3" s="2">
        <v>38</v>
      </c>
      <c r="F3" s="2">
        <v>23</v>
      </c>
      <c r="G3" s="2">
        <v>9</v>
      </c>
      <c r="H3" s="2">
        <v>6</v>
      </c>
      <c r="I3" s="2">
        <v>68</v>
      </c>
      <c r="J3" s="2">
        <v>33</v>
      </c>
      <c r="K3" s="2">
        <v>35</v>
      </c>
      <c r="L3" s="2">
        <v>78</v>
      </c>
      <c r="M3" s="2">
        <v>2.0499999999999998</v>
      </c>
      <c r="N3" s="3">
        <v>38053</v>
      </c>
      <c r="O3" s="2" t="s">
        <v>151</v>
      </c>
      <c r="P3" s="2" t="s">
        <v>152</v>
      </c>
    </row>
    <row r="4" spans="1:16" x14ac:dyDescent="0.2">
      <c r="A4" t="str" cm="1">
        <f t="array" ref="A4">_xlfn.IFS(C4="it ITA", "Serie A", C4="eng ENG", "Premier League", C4="de GER", "Bundesliga", C4="es ESP", "La Liga", C4="fr FRA", "Ligue 1")</f>
        <v>Premier League</v>
      </c>
      <c r="B4" s="2" t="s">
        <v>340</v>
      </c>
      <c r="C4" s="2" t="s">
        <v>150</v>
      </c>
      <c r="D4" s="2">
        <v>2</v>
      </c>
      <c r="E4" s="2">
        <v>38</v>
      </c>
      <c r="F4" s="2">
        <v>23</v>
      </c>
      <c r="G4" s="2">
        <v>8</v>
      </c>
      <c r="H4" s="2">
        <v>7</v>
      </c>
      <c r="I4" s="2">
        <v>73</v>
      </c>
      <c r="J4" s="2">
        <v>26</v>
      </c>
      <c r="K4" s="2">
        <v>47</v>
      </c>
      <c r="L4" s="2">
        <v>77</v>
      </c>
      <c r="M4" s="2">
        <v>2.0299999999999998</v>
      </c>
      <c r="N4" s="3">
        <v>55166</v>
      </c>
      <c r="O4" s="2" t="s">
        <v>153</v>
      </c>
      <c r="P4" s="2" t="s">
        <v>154</v>
      </c>
    </row>
    <row r="5" spans="1:16" x14ac:dyDescent="0.2">
      <c r="A5" t="str" cm="1">
        <f t="array" ref="A5">_xlfn.IFS(C5="it ITA", "Serie A", C5="eng ENG", "Premier League", C5="de GER", "Bundesliga", C5="es ESP", "La Liga", C5="fr FRA", "Ligue 1")</f>
        <v>Serie A</v>
      </c>
      <c r="B5" s="2" t="s">
        <v>341</v>
      </c>
      <c r="C5" s="2" t="s">
        <v>147</v>
      </c>
      <c r="D5" s="2">
        <v>2</v>
      </c>
      <c r="E5" s="2">
        <v>34</v>
      </c>
      <c r="F5" s="2">
        <v>21</v>
      </c>
      <c r="G5" s="2">
        <v>6</v>
      </c>
      <c r="H5" s="2">
        <v>7</v>
      </c>
      <c r="I5" s="2">
        <v>62</v>
      </c>
      <c r="J5" s="2">
        <v>27</v>
      </c>
      <c r="K5" s="2">
        <v>35</v>
      </c>
      <c r="L5" s="2">
        <v>69</v>
      </c>
      <c r="M5" s="2">
        <v>2.0299999999999998</v>
      </c>
      <c r="N5" s="2"/>
      <c r="O5" s="2" t="s">
        <v>155</v>
      </c>
      <c r="P5" s="2" t="s">
        <v>156</v>
      </c>
    </row>
    <row r="6" spans="1:16" x14ac:dyDescent="0.2">
      <c r="A6" t="str" cm="1">
        <f t="array" ref="A6">_xlfn.IFS(C6="it ITA", "Serie A", C6="eng ENG", "Premier League", C6="de GER", "Bundesliga", C6="es ESP", "La Liga", C6="fr FRA", "Ligue 1")</f>
        <v>Ligue 1</v>
      </c>
      <c r="B6" s="2" t="s">
        <v>91</v>
      </c>
      <c r="C6" s="2" t="s">
        <v>157</v>
      </c>
      <c r="D6" s="2">
        <v>1</v>
      </c>
      <c r="E6" s="2">
        <v>34</v>
      </c>
      <c r="F6" s="2">
        <v>21</v>
      </c>
      <c r="G6" s="2">
        <v>5</v>
      </c>
      <c r="H6" s="2">
        <v>8</v>
      </c>
      <c r="I6" s="2">
        <v>55</v>
      </c>
      <c r="J6" s="2">
        <v>30</v>
      </c>
      <c r="K6" s="2">
        <v>25</v>
      </c>
      <c r="L6" s="2">
        <v>68</v>
      </c>
      <c r="M6" s="2">
        <v>2</v>
      </c>
      <c r="N6" s="2"/>
      <c r="O6" s="2" t="s">
        <v>158</v>
      </c>
      <c r="P6" s="2" t="s">
        <v>159</v>
      </c>
    </row>
    <row r="7" spans="1:16" x14ac:dyDescent="0.2">
      <c r="A7" t="str" cm="1">
        <f t="array" ref="A7">_xlfn.IFS(C7="it ITA", "Serie A", C7="eng ENG", "Premier League", C7="de GER", "Bundesliga", C7="es ESP", "La Liga", C7="fr FRA", "Ligue 1")</f>
        <v>Bundesliga</v>
      </c>
      <c r="B7" s="2" t="s">
        <v>73</v>
      </c>
      <c r="C7" s="2" t="s">
        <v>160</v>
      </c>
      <c r="D7" s="2">
        <v>1</v>
      </c>
      <c r="E7" s="2">
        <v>34</v>
      </c>
      <c r="F7" s="2">
        <v>19</v>
      </c>
      <c r="G7" s="2">
        <v>11</v>
      </c>
      <c r="H7" s="2">
        <v>4</v>
      </c>
      <c r="I7" s="2">
        <v>63</v>
      </c>
      <c r="J7" s="2">
        <v>39</v>
      </c>
      <c r="K7" s="2">
        <v>24</v>
      </c>
      <c r="L7" s="2">
        <v>68</v>
      </c>
      <c r="M7" s="2">
        <v>2</v>
      </c>
      <c r="N7" s="2"/>
      <c r="O7" s="2" t="s">
        <v>161</v>
      </c>
      <c r="P7" s="2" t="s">
        <v>162</v>
      </c>
    </row>
    <row r="8" spans="1:16" x14ac:dyDescent="0.2">
      <c r="A8" t="str" cm="1">
        <f t="array" ref="A8">_xlfn.IFS(C8="it ITA", "Serie A", C8="eng ENG", "Premier League", C8="de GER", "Bundesliga", C8="es ESP", "La Liga", C8="fr FRA", "Ligue 1")</f>
        <v>Ligue 1</v>
      </c>
      <c r="B8" s="2" t="s">
        <v>93</v>
      </c>
      <c r="C8" s="2" t="s">
        <v>157</v>
      </c>
      <c r="D8" s="2">
        <v>2</v>
      </c>
      <c r="E8" s="2">
        <v>34</v>
      </c>
      <c r="F8" s="2">
        <v>20</v>
      </c>
      <c r="G8" s="2">
        <v>8</v>
      </c>
      <c r="H8" s="2">
        <v>6</v>
      </c>
      <c r="I8" s="2">
        <v>48</v>
      </c>
      <c r="J8" s="2">
        <v>28</v>
      </c>
      <c r="K8" s="2">
        <v>20</v>
      </c>
      <c r="L8" s="2">
        <v>68</v>
      </c>
      <c r="M8" s="2">
        <v>2</v>
      </c>
      <c r="N8" s="2"/>
      <c r="O8" s="2" t="s">
        <v>163</v>
      </c>
      <c r="P8" s="2" t="s">
        <v>164</v>
      </c>
    </row>
    <row r="9" spans="1:16" x14ac:dyDescent="0.2">
      <c r="A9" t="str" cm="1">
        <f t="array" ref="A9">_xlfn.IFS(C9="it ITA", "Serie A", C9="eng ENG", "Premier League", C9="de GER", "Bundesliga", C9="es ESP", "La Liga", C9="fr FRA", "Ligue 1")</f>
        <v>La Liga</v>
      </c>
      <c r="B9" s="2" t="s">
        <v>23</v>
      </c>
      <c r="C9" s="2" t="s">
        <v>165</v>
      </c>
      <c r="D9" s="2">
        <v>1</v>
      </c>
      <c r="E9" s="2">
        <v>38</v>
      </c>
      <c r="F9" s="2">
        <v>23</v>
      </c>
      <c r="G9" s="2">
        <v>5</v>
      </c>
      <c r="H9" s="2">
        <v>10</v>
      </c>
      <c r="I9" s="2">
        <v>78</v>
      </c>
      <c r="J9" s="2">
        <v>56</v>
      </c>
      <c r="K9" s="2">
        <v>22</v>
      </c>
      <c r="L9" s="2">
        <v>74</v>
      </c>
      <c r="M9" s="2">
        <v>1.95</v>
      </c>
      <c r="N9" s="2"/>
      <c r="O9" s="2" t="s">
        <v>166</v>
      </c>
      <c r="P9" s="2" t="s">
        <v>167</v>
      </c>
    </row>
    <row r="10" spans="1:16" x14ac:dyDescent="0.2">
      <c r="A10" t="str" cm="1">
        <f t="array" ref="A10">_xlfn.IFS(C10="it ITA", "Serie A", C10="eng ENG", "Premier League", C10="de GER", "Bundesliga", C10="es ESP", "La Liga", C10="fr FRA", "Ligue 1")</f>
        <v>Bundesliga</v>
      </c>
      <c r="B10" s="2" t="s">
        <v>63</v>
      </c>
      <c r="C10" s="2" t="s">
        <v>160</v>
      </c>
      <c r="D10" s="2">
        <v>2</v>
      </c>
      <c r="E10" s="2">
        <v>34</v>
      </c>
      <c r="F10" s="2">
        <v>19</v>
      </c>
      <c r="G10" s="2">
        <v>9</v>
      </c>
      <c r="H10" s="2">
        <v>6</v>
      </c>
      <c r="I10" s="2">
        <v>69</v>
      </c>
      <c r="J10" s="2">
        <v>37</v>
      </c>
      <c r="K10" s="2">
        <v>32</v>
      </c>
      <c r="L10" s="2">
        <v>66</v>
      </c>
      <c r="M10" s="2">
        <v>1.94</v>
      </c>
      <c r="N10" s="2"/>
      <c r="O10" s="2" t="s">
        <v>168</v>
      </c>
      <c r="P10" s="2" t="s">
        <v>169</v>
      </c>
    </row>
    <row r="11" spans="1:16" x14ac:dyDescent="0.2">
      <c r="A11" t="str" cm="1">
        <f t="array" ref="A11">_xlfn.IFS(C11="it ITA", "Serie A", C11="eng ENG", "Premier League", C11="de GER", "Bundesliga", C11="es ESP", "La Liga", C11="fr FRA", "Ligue 1")</f>
        <v>Serie A</v>
      </c>
      <c r="B11" s="2" t="s">
        <v>60</v>
      </c>
      <c r="C11" s="2" t="s">
        <v>147</v>
      </c>
      <c r="D11" s="2">
        <v>3</v>
      </c>
      <c r="E11" s="2">
        <v>34</v>
      </c>
      <c r="F11" s="2">
        <v>19</v>
      </c>
      <c r="G11" s="2">
        <v>7</v>
      </c>
      <c r="H11" s="2">
        <v>8</v>
      </c>
      <c r="I11" s="2">
        <v>62</v>
      </c>
      <c r="J11" s="2">
        <v>40</v>
      </c>
      <c r="K11" s="2">
        <v>22</v>
      </c>
      <c r="L11" s="2">
        <v>64</v>
      </c>
      <c r="M11" s="2">
        <v>1.88</v>
      </c>
      <c r="N11" s="2"/>
      <c r="O11" s="2" t="s">
        <v>170</v>
      </c>
      <c r="P11" s="2" t="s">
        <v>171</v>
      </c>
    </row>
    <row r="12" spans="1:16" x14ac:dyDescent="0.2">
      <c r="A12" t="str" cm="1">
        <f t="array" ref="A12">_xlfn.IFS(C12="it ITA", "Serie A", C12="eng ENG", "Premier League", C12="de GER", "Bundesliga", C12="es ESP", "La Liga", C12="fr FRA", "Ligue 1")</f>
        <v>Serie A</v>
      </c>
      <c r="B12" s="2" t="s">
        <v>57</v>
      </c>
      <c r="C12" s="2" t="s">
        <v>147</v>
      </c>
      <c r="D12" s="2">
        <v>4</v>
      </c>
      <c r="E12" s="2">
        <v>34</v>
      </c>
      <c r="F12" s="2">
        <v>16</v>
      </c>
      <c r="G12" s="2">
        <v>11</v>
      </c>
      <c r="H12" s="2">
        <v>7</v>
      </c>
      <c r="I12" s="2">
        <v>67</v>
      </c>
      <c r="J12" s="2">
        <v>42</v>
      </c>
      <c r="K12" s="2">
        <v>25</v>
      </c>
      <c r="L12" s="2">
        <v>59</v>
      </c>
      <c r="M12" s="2">
        <v>1.74</v>
      </c>
      <c r="N12" s="2"/>
      <c r="O12" s="2" t="s">
        <v>172</v>
      </c>
      <c r="P12" s="2" t="s">
        <v>173</v>
      </c>
    </row>
    <row r="13" spans="1:16" x14ac:dyDescent="0.2">
      <c r="A13" t="str" cm="1">
        <f t="array" ref="A13">_xlfn.IFS(C13="it ITA", "Serie A", C13="eng ENG", "Premier League", C13="de GER", "Bundesliga", C13="es ESP", "La Liga", C13="fr FRA", "Ligue 1")</f>
        <v>Ligue 1</v>
      </c>
      <c r="B13" s="2" t="s">
        <v>90</v>
      </c>
      <c r="C13" s="2" t="s">
        <v>157</v>
      </c>
      <c r="D13" s="2">
        <v>3</v>
      </c>
      <c r="E13" s="2">
        <v>34</v>
      </c>
      <c r="F13" s="2">
        <v>18</v>
      </c>
      <c r="G13" s="2">
        <v>5</v>
      </c>
      <c r="H13" s="2">
        <v>11</v>
      </c>
      <c r="I13" s="2">
        <v>51</v>
      </c>
      <c r="J13" s="2">
        <v>33</v>
      </c>
      <c r="K13" s="2">
        <v>18</v>
      </c>
      <c r="L13" s="2">
        <v>59</v>
      </c>
      <c r="M13" s="2">
        <v>1.74</v>
      </c>
      <c r="N13" s="2"/>
      <c r="O13" s="2" t="s">
        <v>174</v>
      </c>
      <c r="P13" s="2" t="s">
        <v>175</v>
      </c>
    </row>
    <row r="14" spans="1:16" x14ac:dyDescent="0.2">
      <c r="A14" t="str" cm="1">
        <f t="array" ref="A14">_xlfn.IFS(C14="it ITA", "Serie A", C14="eng ENG", "Premier League", C14="de GER", "Bundesliga", C14="es ESP", "La Liga", C14="fr FRA", "Ligue 1")</f>
        <v>Premier League</v>
      </c>
      <c r="B14" s="2" t="s">
        <v>9</v>
      </c>
      <c r="C14" s="2" t="s">
        <v>150</v>
      </c>
      <c r="D14" s="2">
        <v>3</v>
      </c>
      <c r="E14" s="2">
        <v>38</v>
      </c>
      <c r="F14" s="2">
        <v>18</v>
      </c>
      <c r="G14" s="2">
        <v>11</v>
      </c>
      <c r="H14" s="2">
        <v>9</v>
      </c>
      <c r="I14" s="2">
        <v>68</v>
      </c>
      <c r="J14" s="2">
        <v>42</v>
      </c>
      <c r="K14" s="2">
        <v>26</v>
      </c>
      <c r="L14" s="2">
        <v>65</v>
      </c>
      <c r="M14" s="2">
        <v>1.71</v>
      </c>
      <c r="N14" s="3">
        <v>40628</v>
      </c>
      <c r="O14" s="2" t="s">
        <v>176</v>
      </c>
      <c r="P14" s="2" t="s">
        <v>177</v>
      </c>
    </row>
    <row r="15" spans="1:16" x14ac:dyDescent="0.2">
      <c r="A15" t="str" cm="1">
        <f t="array" ref="A15">_xlfn.IFS(C15="it ITA", "Serie A", C15="eng ENG", "Premier League", C15="de GER", "Bundesliga", C15="es ESP", "La Liga", C15="fr FRA", "Ligue 1")</f>
        <v>La Liga</v>
      </c>
      <c r="B15" s="2" t="s">
        <v>342</v>
      </c>
      <c r="C15" s="2" t="s">
        <v>165</v>
      </c>
      <c r="D15" s="2">
        <v>2</v>
      </c>
      <c r="E15" s="2">
        <v>38</v>
      </c>
      <c r="F15" s="2">
        <v>17</v>
      </c>
      <c r="G15" s="2">
        <v>14</v>
      </c>
      <c r="H15" s="2">
        <v>7</v>
      </c>
      <c r="I15" s="2">
        <v>52</v>
      </c>
      <c r="J15" s="2">
        <v>42</v>
      </c>
      <c r="K15" s="2">
        <v>10</v>
      </c>
      <c r="L15" s="2">
        <v>65</v>
      </c>
      <c r="M15" s="2">
        <v>1.71</v>
      </c>
      <c r="N15" s="2"/>
      <c r="O15" s="2" t="s">
        <v>178</v>
      </c>
      <c r="P15" s="2" t="s">
        <v>179</v>
      </c>
    </row>
    <row r="16" spans="1:16" x14ac:dyDescent="0.2">
      <c r="A16" t="str" cm="1">
        <f t="array" ref="A16">_xlfn.IFS(C16="it ITA", "Serie A", C16="eng ENG", "Premier League", C16="de GER", "Bundesliga", C16="es ESP", "La Liga", C16="fr FRA", "Ligue 1")</f>
        <v>Serie A</v>
      </c>
      <c r="B16" s="2" t="s">
        <v>123</v>
      </c>
      <c r="C16" s="2" t="s">
        <v>147</v>
      </c>
      <c r="D16" s="2">
        <v>5</v>
      </c>
      <c r="E16" s="2">
        <v>34</v>
      </c>
      <c r="F16" s="2">
        <v>15</v>
      </c>
      <c r="G16" s="2">
        <v>12</v>
      </c>
      <c r="H16" s="2">
        <v>7</v>
      </c>
      <c r="I16" s="2">
        <v>65</v>
      </c>
      <c r="J16" s="2">
        <v>36</v>
      </c>
      <c r="K16" s="2">
        <v>29</v>
      </c>
      <c r="L16" s="2">
        <v>57</v>
      </c>
      <c r="M16" s="2">
        <v>1.68</v>
      </c>
      <c r="N16" s="2"/>
      <c r="O16" s="2" t="s">
        <v>180</v>
      </c>
      <c r="P16" s="2" t="s">
        <v>181</v>
      </c>
    </row>
    <row r="17" spans="1:16" x14ac:dyDescent="0.2">
      <c r="A17" t="str" cm="1">
        <f t="array" ref="A17">_xlfn.IFS(C17="it ITA", "Serie A", C17="eng ENG", "Premier League", C17="de GER", "Bundesliga", C17="es ESP", "La Liga", C17="fr FRA", "Ligue 1")</f>
        <v>Ligue 1</v>
      </c>
      <c r="B17" s="2" t="s">
        <v>101</v>
      </c>
      <c r="C17" s="2" t="s">
        <v>157</v>
      </c>
      <c r="D17" s="2">
        <v>4</v>
      </c>
      <c r="E17" s="2">
        <v>34</v>
      </c>
      <c r="F17" s="2">
        <v>16</v>
      </c>
      <c r="G17" s="2">
        <v>9</v>
      </c>
      <c r="H17" s="2">
        <v>9</v>
      </c>
      <c r="I17" s="2">
        <v>47</v>
      </c>
      <c r="J17" s="2">
        <v>27</v>
      </c>
      <c r="K17" s="2">
        <v>20</v>
      </c>
      <c r="L17" s="2">
        <v>57</v>
      </c>
      <c r="M17" s="2">
        <v>1.68</v>
      </c>
      <c r="N17" s="2"/>
      <c r="O17" s="2" t="s">
        <v>182</v>
      </c>
      <c r="P17" s="2" t="s">
        <v>183</v>
      </c>
    </row>
    <row r="18" spans="1:16" x14ac:dyDescent="0.2">
      <c r="A18" t="str" cm="1">
        <f t="array" ref="A18">_xlfn.IFS(C18="it ITA", "Serie A", C18="eng ENG", "Premier League", C18="de GER", "Bundesliga", C18="es ESP", "La Liga", C18="fr FRA", "Ligue 1")</f>
        <v>Serie A</v>
      </c>
      <c r="B18" s="2" t="s">
        <v>54</v>
      </c>
      <c r="C18" s="2" t="s">
        <v>147</v>
      </c>
      <c r="D18" s="2">
        <v>6</v>
      </c>
      <c r="E18" s="2">
        <v>34</v>
      </c>
      <c r="F18" s="2">
        <v>15</v>
      </c>
      <c r="G18" s="2">
        <v>12</v>
      </c>
      <c r="H18" s="2">
        <v>7</v>
      </c>
      <c r="I18" s="2">
        <v>55</v>
      </c>
      <c r="J18" s="2">
        <v>39</v>
      </c>
      <c r="K18" s="2">
        <v>16</v>
      </c>
      <c r="L18" s="2">
        <v>57</v>
      </c>
      <c r="M18" s="2">
        <v>1.68</v>
      </c>
      <c r="N18" s="2"/>
      <c r="O18" s="2" t="s">
        <v>184</v>
      </c>
      <c r="P18" s="2" t="s">
        <v>185</v>
      </c>
    </row>
    <row r="19" spans="1:16" x14ac:dyDescent="0.2">
      <c r="A19" t="str" cm="1">
        <f t="array" ref="A19">_xlfn.IFS(C19="it ITA", "Serie A", C19="eng ENG", "Premier League", C19="de GER", "Bundesliga", C19="es ESP", "La Liga", C19="fr FRA", "Ligue 1")</f>
        <v>Premier League</v>
      </c>
      <c r="B19" s="2" t="s">
        <v>4</v>
      </c>
      <c r="C19" s="2" t="s">
        <v>150</v>
      </c>
      <c r="D19" s="2">
        <v>4</v>
      </c>
      <c r="E19" s="2">
        <v>38</v>
      </c>
      <c r="F19" s="2">
        <v>20</v>
      </c>
      <c r="G19" s="2">
        <v>3</v>
      </c>
      <c r="H19" s="2">
        <v>15</v>
      </c>
      <c r="I19" s="2">
        <v>71</v>
      </c>
      <c r="J19" s="2">
        <v>43</v>
      </c>
      <c r="K19" s="2">
        <v>28</v>
      </c>
      <c r="L19" s="2">
        <v>63</v>
      </c>
      <c r="M19" s="2">
        <v>1.66</v>
      </c>
      <c r="N19" s="3">
        <v>33387</v>
      </c>
      <c r="O19" s="2" t="s">
        <v>186</v>
      </c>
      <c r="P19" s="2" t="s">
        <v>187</v>
      </c>
    </row>
    <row r="20" spans="1:16" x14ac:dyDescent="0.2">
      <c r="A20" t="str" cm="1">
        <f t="array" ref="A20">_xlfn.IFS(C20="it ITA", "Serie A", C20="eng ENG", "Premier League", C20="de GER", "Bundesliga", C20="es ESP", "La Liga", C20="fr FRA", "Ligue 1")</f>
        <v>La Liga</v>
      </c>
      <c r="B20" s="2" t="s">
        <v>32</v>
      </c>
      <c r="C20" s="2" t="s">
        <v>165</v>
      </c>
      <c r="D20" s="2">
        <v>3</v>
      </c>
      <c r="E20" s="2">
        <v>38</v>
      </c>
      <c r="F20" s="2">
        <v>16</v>
      </c>
      <c r="G20" s="2">
        <v>15</v>
      </c>
      <c r="H20" s="2">
        <v>7</v>
      </c>
      <c r="I20" s="2">
        <v>60</v>
      </c>
      <c r="J20" s="2">
        <v>37</v>
      </c>
      <c r="K20" s="2">
        <v>23</v>
      </c>
      <c r="L20" s="2">
        <v>63</v>
      </c>
      <c r="M20" s="2">
        <v>1.66</v>
      </c>
      <c r="N20" s="2"/>
      <c r="O20" s="2" t="s">
        <v>188</v>
      </c>
      <c r="P20" s="2" t="s">
        <v>189</v>
      </c>
    </row>
    <row r="21" spans="1:16" x14ac:dyDescent="0.2">
      <c r="A21" t="str" cm="1">
        <f t="array" ref="A21">_xlfn.IFS(C21="it ITA", "Serie A", C21="eng ENG", "Premier League", C21="de GER", "Bundesliga", C21="es ESP", "La Liga", C21="fr FRA", "Ligue 1")</f>
        <v>La Liga</v>
      </c>
      <c r="B21" s="2" t="s">
        <v>24</v>
      </c>
      <c r="C21" s="2" t="s">
        <v>165</v>
      </c>
      <c r="D21" s="2">
        <v>4</v>
      </c>
      <c r="E21" s="2">
        <v>38</v>
      </c>
      <c r="F21" s="2">
        <v>17</v>
      </c>
      <c r="G21" s="2">
        <v>12</v>
      </c>
      <c r="H21" s="2">
        <v>9</v>
      </c>
      <c r="I21" s="2">
        <v>63</v>
      </c>
      <c r="J21" s="2">
        <v>45</v>
      </c>
      <c r="K21" s="2">
        <v>18</v>
      </c>
      <c r="L21" s="2">
        <v>63</v>
      </c>
      <c r="M21" s="2">
        <v>1.66</v>
      </c>
      <c r="N21" s="2"/>
      <c r="O21" s="2" t="s">
        <v>190</v>
      </c>
      <c r="P21" s="2" t="s">
        <v>191</v>
      </c>
    </row>
    <row r="22" spans="1:16" x14ac:dyDescent="0.2">
      <c r="A22" t="str" cm="1">
        <f t="array" ref="A22">_xlfn.IFS(C22="it ITA", "Serie A", C22="eng ENG", "Premier League", C22="de GER", "Bundesliga", C22="es ESP", "La Liga", C22="fr FRA", "Ligue 1")</f>
        <v>Serie A</v>
      </c>
      <c r="B22" s="2" t="s">
        <v>50</v>
      </c>
      <c r="C22" s="2" t="s">
        <v>147</v>
      </c>
      <c r="D22" s="2">
        <v>7</v>
      </c>
      <c r="E22" s="2">
        <v>34</v>
      </c>
      <c r="F22" s="2">
        <v>16</v>
      </c>
      <c r="G22" s="2">
        <v>8</v>
      </c>
      <c r="H22" s="2">
        <v>10</v>
      </c>
      <c r="I22" s="2">
        <v>53</v>
      </c>
      <c r="J22" s="2">
        <v>30</v>
      </c>
      <c r="K22" s="2">
        <v>23</v>
      </c>
      <c r="L22" s="2">
        <v>56</v>
      </c>
      <c r="M22" s="2">
        <v>1.65</v>
      </c>
      <c r="N22" s="2"/>
      <c r="O22" s="2" t="s">
        <v>192</v>
      </c>
      <c r="P22" s="2" t="s">
        <v>193</v>
      </c>
    </row>
    <row r="23" spans="1:16" x14ac:dyDescent="0.2">
      <c r="A23" t="str" cm="1">
        <f t="array" ref="A23">_xlfn.IFS(C23="it ITA", "Serie A", C23="eng ENG", "Premier League", C23="de GER", "Bundesliga", C23="es ESP", "La Liga", C23="fr FRA", "Ligue 1")</f>
        <v>Ligue 1</v>
      </c>
      <c r="B23" s="2" t="s">
        <v>85</v>
      </c>
      <c r="C23" s="2" t="s">
        <v>157</v>
      </c>
      <c r="D23" s="2">
        <v>5</v>
      </c>
      <c r="E23" s="2">
        <v>34</v>
      </c>
      <c r="F23" s="2">
        <v>15</v>
      </c>
      <c r="G23" s="2">
        <v>11</v>
      </c>
      <c r="H23" s="2">
        <v>8</v>
      </c>
      <c r="I23" s="2">
        <v>49</v>
      </c>
      <c r="J23" s="2">
        <v>41</v>
      </c>
      <c r="K23" s="2">
        <v>8</v>
      </c>
      <c r="L23" s="2">
        <v>56</v>
      </c>
      <c r="M23" s="2">
        <v>1.65</v>
      </c>
      <c r="N23" s="2"/>
      <c r="O23" s="2" t="s">
        <v>194</v>
      </c>
      <c r="P23" s="2" t="s">
        <v>195</v>
      </c>
    </row>
    <row r="24" spans="1:16" x14ac:dyDescent="0.2">
      <c r="A24" t="str" cm="1">
        <f t="array" ref="A24">_xlfn.IFS(C24="it ITA", "Serie A", C24="eng ENG", "Premier League", C24="de GER", "Bundesliga", C24="es ESP", "La Liga", C24="fr FRA", "Ligue 1")</f>
        <v>Bundesliga</v>
      </c>
      <c r="B24" s="2" t="s">
        <v>62</v>
      </c>
      <c r="C24" s="2" t="s">
        <v>160</v>
      </c>
      <c r="D24" s="2">
        <v>3</v>
      </c>
      <c r="E24" s="2">
        <v>34</v>
      </c>
      <c r="F24" s="2">
        <v>14</v>
      </c>
      <c r="G24" s="2">
        <v>13</v>
      </c>
      <c r="H24" s="2">
        <v>7</v>
      </c>
      <c r="I24" s="2">
        <v>66</v>
      </c>
      <c r="J24" s="2">
        <v>39</v>
      </c>
      <c r="K24" s="2">
        <v>27</v>
      </c>
      <c r="L24" s="2">
        <v>55</v>
      </c>
      <c r="M24" s="2">
        <v>1.62</v>
      </c>
      <c r="N24" s="2"/>
      <c r="O24" s="2" t="s">
        <v>196</v>
      </c>
      <c r="P24" s="2" t="s">
        <v>197</v>
      </c>
    </row>
    <row r="25" spans="1:16" x14ac:dyDescent="0.2">
      <c r="A25" t="str" cm="1">
        <f t="array" ref="A25">_xlfn.IFS(C25="it ITA", "Serie A", C25="eng ENG", "Premier League", C25="de GER", "Bundesliga", C25="es ESP", "La Liga", C25="fr FRA", "Ligue 1")</f>
        <v>La Liga</v>
      </c>
      <c r="B25" s="2" t="s">
        <v>25</v>
      </c>
      <c r="C25" s="2" t="s">
        <v>165</v>
      </c>
      <c r="D25" s="2">
        <v>7</v>
      </c>
      <c r="E25" s="2">
        <v>38</v>
      </c>
      <c r="F25" s="2">
        <v>16</v>
      </c>
      <c r="G25" s="2">
        <v>12</v>
      </c>
      <c r="H25" s="2">
        <v>10</v>
      </c>
      <c r="I25" s="2">
        <v>79</v>
      </c>
      <c r="J25" s="2">
        <v>56</v>
      </c>
      <c r="K25" s="2">
        <v>23</v>
      </c>
      <c r="L25" s="2">
        <v>60</v>
      </c>
      <c r="M25" s="2">
        <v>1.58</v>
      </c>
      <c r="N25" s="2"/>
      <c r="O25" s="2" t="s">
        <v>198</v>
      </c>
      <c r="P25" s="2" t="s">
        <v>199</v>
      </c>
    </row>
    <row r="26" spans="1:16" x14ac:dyDescent="0.2">
      <c r="A26" t="str" cm="1">
        <f t="array" ref="A26">_xlfn.IFS(C26="it ITA", "Serie A", C26="eng ENG", "Premier League", C26="de GER", "Bundesliga", C26="es ESP", "La Liga", C26="fr FRA", "Ligue 1")</f>
        <v>La Liga</v>
      </c>
      <c r="B26" s="2" t="s">
        <v>114</v>
      </c>
      <c r="C26" s="2" t="s">
        <v>165</v>
      </c>
      <c r="D26" s="2">
        <v>5</v>
      </c>
      <c r="E26" s="2">
        <v>38</v>
      </c>
      <c r="F26" s="2">
        <v>16</v>
      </c>
      <c r="G26" s="2">
        <v>12</v>
      </c>
      <c r="H26" s="2">
        <v>10</v>
      </c>
      <c r="I26" s="2">
        <v>55</v>
      </c>
      <c r="J26" s="2">
        <v>39</v>
      </c>
      <c r="K26" s="2">
        <v>16</v>
      </c>
      <c r="L26" s="2">
        <v>60</v>
      </c>
      <c r="M26" s="2">
        <v>1.58</v>
      </c>
      <c r="N26" s="2"/>
      <c r="O26" s="2" t="s">
        <v>200</v>
      </c>
      <c r="P26" s="2" t="s">
        <v>201</v>
      </c>
    </row>
    <row r="27" spans="1:16" x14ac:dyDescent="0.2">
      <c r="A27" t="str" cm="1">
        <f t="array" ref="A27">_xlfn.IFS(C27="it ITA", "Serie A", C27="eng ENG", "Premier League", C27="de GER", "Bundesliga", C27="es ESP", "La Liga", C27="fr FRA", "Ligue 1")</f>
        <v>La Liga</v>
      </c>
      <c r="B27" s="2" t="s">
        <v>110</v>
      </c>
      <c r="C27" s="2" t="s">
        <v>165</v>
      </c>
      <c r="D27" s="2">
        <v>6</v>
      </c>
      <c r="E27" s="2">
        <v>38</v>
      </c>
      <c r="F27" s="2">
        <v>17</v>
      </c>
      <c r="G27" s="2">
        <v>9</v>
      </c>
      <c r="H27" s="2">
        <v>12</v>
      </c>
      <c r="I27" s="2">
        <v>54</v>
      </c>
      <c r="J27" s="2">
        <v>47</v>
      </c>
      <c r="K27" s="2">
        <v>7</v>
      </c>
      <c r="L27" s="2">
        <v>60</v>
      </c>
      <c r="M27" s="2">
        <v>1.58</v>
      </c>
      <c r="N27" s="2"/>
      <c r="O27" s="2" t="s">
        <v>202</v>
      </c>
      <c r="P27" s="2" t="s">
        <v>203</v>
      </c>
    </row>
    <row r="28" spans="1:16" x14ac:dyDescent="0.2">
      <c r="A28" t="str" cm="1">
        <f t="array" ref="A28">_xlfn.IFS(C28="it ITA", "Serie A", C28="eng ENG", "Premier League", C28="de GER", "Bundesliga", C28="es ESP", "La Liga", C28="fr FRA", "Ligue 1")</f>
        <v>Ligue 1</v>
      </c>
      <c r="B28" s="2" t="s">
        <v>89</v>
      </c>
      <c r="C28" s="2" t="s">
        <v>157</v>
      </c>
      <c r="D28" s="2">
        <v>6</v>
      </c>
      <c r="E28" s="2">
        <v>34</v>
      </c>
      <c r="F28" s="2">
        <v>16</v>
      </c>
      <c r="G28" s="2">
        <v>5</v>
      </c>
      <c r="H28" s="2">
        <v>13</v>
      </c>
      <c r="I28" s="2">
        <v>39</v>
      </c>
      <c r="J28" s="2">
        <v>37</v>
      </c>
      <c r="K28" s="2">
        <v>2</v>
      </c>
      <c r="L28" s="2">
        <v>53</v>
      </c>
      <c r="M28" s="2">
        <v>1.56</v>
      </c>
      <c r="N28" s="2"/>
      <c r="O28" s="2" t="s">
        <v>204</v>
      </c>
      <c r="P28" s="2" t="s">
        <v>205</v>
      </c>
    </row>
    <row r="29" spans="1:16" x14ac:dyDescent="0.2">
      <c r="A29" t="str" cm="1">
        <f t="array" ref="A29">_xlfn.IFS(C29="it ITA", "Serie A", C29="eng ENG", "Premier League", C29="de GER", "Bundesliga", C29="es ESP", "La Liga", C29="fr FRA", "Ligue 1")</f>
        <v>Premier League</v>
      </c>
      <c r="B29" s="2" t="s">
        <v>8</v>
      </c>
      <c r="C29" s="2" t="s">
        <v>150</v>
      </c>
      <c r="D29" s="2">
        <v>5</v>
      </c>
      <c r="E29" s="2">
        <v>38</v>
      </c>
      <c r="F29" s="2">
        <v>17</v>
      </c>
      <c r="G29" s="2">
        <v>8</v>
      </c>
      <c r="H29" s="2">
        <v>13</v>
      </c>
      <c r="I29" s="2">
        <v>57</v>
      </c>
      <c r="J29" s="2">
        <v>46</v>
      </c>
      <c r="K29" s="2">
        <v>11</v>
      </c>
      <c r="L29" s="2">
        <v>59</v>
      </c>
      <c r="M29" s="2">
        <v>1.55</v>
      </c>
      <c r="N29" s="3">
        <v>34642</v>
      </c>
      <c r="O29" s="2" t="s">
        <v>206</v>
      </c>
      <c r="P29" s="2" t="s">
        <v>207</v>
      </c>
    </row>
    <row r="30" spans="1:16" x14ac:dyDescent="0.2">
      <c r="A30" t="str" cm="1">
        <f t="array" ref="A30">_xlfn.IFS(C30="it ITA", "Serie A", C30="eng ENG", "Premier League", C30="de GER", "Bundesliga", C30="es ESP", "La Liga", C30="fr FRA", "Ligue 1")</f>
        <v>La Liga</v>
      </c>
      <c r="B30" s="2" t="s">
        <v>343</v>
      </c>
      <c r="C30" s="2" t="s">
        <v>165</v>
      </c>
      <c r="D30" s="2">
        <v>8</v>
      </c>
      <c r="E30" s="2">
        <v>38</v>
      </c>
      <c r="F30" s="2">
        <v>17</v>
      </c>
      <c r="G30" s="2">
        <v>8</v>
      </c>
      <c r="H30" s="2">
        <v>13</v>
      </c>
      <c r="I30" s="2">
        <v>49</v>
      </c>
      <c r="J30" s="2">
        <v>50</v>
      </c>
      <c r="K30" s="2">
        <v>-1</v>
      </c>
      <c r="L30" s="2">
        <v>59</v>
      </c>
      <c r="M30" s="2">
        <v>1.55</v>
      </c>
      <c r="N30" s="2"/>
      <c r="O30" s="2" t="s">
        <v>208</v>
      </c>
      <c r="P30" s="2" t="s">
        <v>209</v>
      </c>
    </row>
    <row r="31" spans="1:16" x14ac:dyDescent="0.2">
      <c r="A31" t="str" cm="1">
        <f t="array" ref="A31">_xlfn.IFS(C31="it ITA", "Serie A", C31="eng ENG", "Premier League", C31="de GER", "Bundesliga", C31="es ESP", "La Liga", C31="fr FRA", "Ligue 1")</f>
        <v>Bundesliga</v>
      </c>
      <c r="B31" s="2" t="s">
        <v>81</v>
      </c>
      <c r="C31" s="2" t="s">
        <v>160</v>
      </c>
      <c r="D31" s="2">
        <v>4</v>
      </c>
      <c r="E31" s="2">
        <v>34</v>
      </c>
      <c r="F31" s="2">
        <v>14</v>
      </c>
      <c r="G31" s="2">
        <v>10</v>
      </c>
      <c r="H31" s="2">
        <v>10</v>
      </c>
      <c r="I31" s="2">
        <v>55</v>
      </c>
      <c r="J31" s="2">
        <v>49</v>
      </c>
      <c r="K31" s="2">
        <v>6</v>
      </c>
      <c r="L31" s="2">
        <v>52</v>
      </c>
      <c r="M31" s="2">
        <v>1.53</v>
      </c>
      <c r="N31" s="2"/>
      <c r="O31" s="2" t="s">
        <v>210</v>
      </c>
      <c r="P31" s="2" t="s">
        <v>211</v>
      </c>
    </row>
    <row r="32" spans="1:16" x14ac:dyDescent="0.2">
      <c r="A32" t="str" cm="1">
        <f t="array" ref="A32">_xlfn.IFS(C32="it ITA", "Serie A", C32="eng ENG", "Premier League", C32="de GER", "Bundesliga", C32="es ESP", "La Liga", C32="fr FRA", "Ligue 1")</f>
        <v>Bundesliga</v>
      </c>
      <c r="B32" s="2" t="s">
        <v>125</v>
      </c>
      <c r="C32" s="2" t="s">
        <v>160</v>
      </c>
      <c r="D32" s="2">
        <v>5</v>
      </c>
      <c r="E32" s="2">
        <v>34</v>
      </c>
      <c r="F32" s="2">
        <v>13</v>
      </c>
      <c r="G32" s="2">
        <v>13</v>
      </c>
      <c r="H32" s="2">
        <v>8</v>
      </c>
      <c r="I32" s="2">
        <v>38</v>
      </c>
      <c r="J32" s="2">
        <v>32</v>
      </c>
      <c r="K32" s="2">
        <v>6</v>
      </c>
      <c r="L32" s="2">
        <v>52</v>
      </c>
      <c r="M32" s="2">
        <v>1.53</v>
      </c>
      <c r="N32" s="2"/>
      <c r="O32" s="2" t="s">
        <v>212</v>
      </c>
      <c r="P32" s="2" t="s">
        <v>213</v>
      </c>
    </row>
    <row r="33" spans="1:16" x14ac:dyDescent="0.2">
      <c r="A33" t="str" cm="1">
        <f t="array" ref="A33">_xlfn.IFS(C33="it ITA", "Serie A", C33="eng ENG", "Premier League", C33="de GER", "Bundesliga", C33="es ESP", "La Liga", C33="fr FRA", "Ligue 1")</f>
        <v>Premier League</v>
      </c>
      <c r="B33" s="2" t="s">
        <v>3</v>
      </c>
      <c r="C33" s="2" t="s">
        <v>150</v>
      </c>
      <c r="D33" s="2">
        <v>6</v>
      </c>
      <c r="E33" s="2">
        <v>38</v>
      </c>
      <c r="F33" s="2">
        <v>16</v>
      </c>
      <c r="G33" s="2">
        <v>10</v>
      </c>
      <c r="H33" s="2">
        <v>12</v>
      </c>
      <c r="I33" s="2">
        <v>57</v>
      </c>
      <c r="J33" s="2">
        <v>52</v>
      </c>
      <c r="K33" s="2">
        <v>5</v>
      </c>
      <c r="L33" s="2">
        <v>58</v>
      </c>
      <c r="M33" s="2">
        <v>1.53</v>
      </c>
      <c r="N33" s="3">
        <v>25253</v>
      </c>
      <c r="O33" s="2" t="s">
        <v>214</v>
      </c>
      <c r="P33" s="2" t="s">
        <v>215</v>
      </c>
    </row>
    <row r="34" spans="1:16" x14ac:dyDescent="0.2">
      <c r="A34" t="str" cm="1">
        <f t="array" ref="A34">_xlfn.IFS(C34="it ITA", "Serie A", C34="eng ENG", "Premier League", C34="de GER", "Bundesliga", C34="es ESP", "La Liga", C34="fr FRA", "Ligue 1")</f>
        <v>Ligue 1</v>
      </c>
      <c r="B34" s="2" t="s">
        <v>102</v>
      </c>
      <c r="C34" s="2" t="s">
        <v>157</v>
      </c>
      <c r="D34" s="2">
        <v>7</v>
      </c>
      <c r="E34" s="2">
        <v>34</v>
      </c>
      <c r="F34" s="2">
        <v>14</v>
      </c>
      <c r="G34" s="2">
        <v>9</v>
      </c>
      <c r="H34" s="2">
        <v>11</v>
      </c>
      <c r="I34" s="2">
        <v>55</v>
      </c>
      <c r="J34" s="2">
        <v>45</v>
      </c>
      <c r="K34" s="2">
        <v>10</v>
      </c>
      <c r="L34" s="2">
        <v>51</v>
      </c>
      <c r="M34" s="2">
        <v>1.5</v>
      </c>
      <c r="N34" s="2"/>
      <c r="O34" s="2" t="s">
        <v>216</v>
      </c>
      <c r="P34" s="2" t="s">
        <v>217</v>
      </c>
    </row>
    <row r="35" spans="1:16" x14ac:dyDescent="0.2">
      <c r="A35" t="str" cm="1">
        <f t="array" ref="A35">_xlfn.IFS(C35="it ITA", "Serie A", C35="eng ENG", "Premier League", C35="de GER", "Bundesliga", C35="es ESP", "La Liga", C35="fr FRA", "Ligue 1")</f>
        <v>Bundesliga</v>
      </c>
      <c r="B35" s="2" t="s">
        <v>127</v>
      </c>
      <c r="C35" s="2" t="s">
        <v>160</v>
      </c>
      <c r="D35" s="2">
        <v>6</v>
      </c>
      <c r="E35" s="2">
        <v>34</v>
      </c>
      <c r="F35" s="2">
        <v>14</v>
      </c>
      <c r="G35" s="2">
        <v>9</v>
      </c>
      <c r="H35" s="2">
        <v>11</v>
      </c>
      <c r="I35" s="2">
        <v>54</v>
      </c>
      <c r="J35" s="2">
        <v>46</v>
      </c>
      <c r="K35" s="2">
        <v>8</v>
      </c>
      <c r="L35" s="2">
        <v>51</v>
      </c>
      <c r="M35" s="2">
        <v>1.5</v>
      </c>
      <c r="N35" s="2"/>
      <c r="O35" s="2" t="s">
        <v>218</v>
      </c>
      <c r="P35" s="2" t="s">
        <v>219</v>
      </c>
    </row>
    <row r="36" spans="1:16" x14ac:dyDescent="0.2">
      <c r="A36" t="str" cm="1">
        <f t="array" ref="A36">_xlfn.IFS(C36="it ITA", "Serie A", C36="eng ENG", "Premier League", C36="de GER", "Bundesliga", C36="es ESP", "La Liga", C36="fr FRA", "Ligue 1")</f>
        <v>Premier League</v>
      </c>
      <c r="B36" s="2" t="s">
        <v>1</v>
      </c>
      <c r="C36" s="2" t="s">
        <v>150</v>
      </c>
      <c r="D36" s="2">
        <v>7</v>
      </c>
      <c r="E36" s="2">
        <v>38</v>
      </c>
      <c r="F36" s="2">
        <v>17</v>
      </c>
      <c r="G36" s="2">
        <v>6</v>
      </c>
      <c r="H36" s="2">
        <v>15</v>
      </c>
      <c r="I36" s="2">
        <v>49</v>
      </c>
      <c r="J36" s="2">
        <v>48</v>
      </c>
      <c r="K36" s="2">
        <v>1</v>
      </c>
      <c r="L36" s="2">
        <v>57</v>
      </c>
      <c r="M36" s="2">
        <v>1.5</v>
      </c>
      <c r="N36" s="3">
        <v>36031</v>
      </c>
      <c r="O36" s="2" t="s">
        <v>220</v>
      </c>
      <c r="P36" s="2" t="s">
        <v>221</v>
      </c>
    </row>
    <row r="37" spans="1:16" x14ac:dyDescent="0.2">
      <c r="A37" t="str" cm="1">
        <f t="array" ref="A37">_xlfn.IFS(C37="it ITA", "Serie A", C37="eng ENG", "Premier League", C37="de GER", "Bundesliga", C37="es ESP", "La Liga", C37="fr FRA", "Ligue 1")</f>
        <v>Ligue 1</v>
      </c>
      <c r="B37" s="2" t="s">
        <v>344</v>
      </c>
      <c r="C37" s="2" t="s">
        <v>157</v>
      </c>
      <c r="D37" s="2">
        <v>8</v>
      </c>
      <c r="E37" s="2">
        <v>34</v>
      </c>
      <c r="F37" s="2">
        <v>14</v>
      </c>
      <c r="G37" s="2">
        <v>8</v>
      </c>
      <c r="H37" s="2">
        <v>12</v>
      </c>
      <c r="I37" s="2">
        <v>43</v>
      </c>
      <c r="J37" s="2">
        <v>35</v>
      </c>
      <c r="K37" s="2">
        <v>8</v>
      </c>
      <c r="L37" s="2">
        <v>50</v>
      </c>
      <c r="M37" s="2">
        <v>1.47</v>
      </c>
      <c r="N37" s="2"/>
      <c r="O37" s="2" t="s">
        <v>222</v>
      </c>
      <c r="P37" s="2" t="s">
        <v>223</v>
      </c>
    </row>
    <row r="38" spans="1:16" x14ac:dyDescent="0.2">
      <c r="A38" t="str" cm="1">
        <f t="array" ref="A38">_xlfn.IFS(C38="it ITA", "Serie A", C38="eng ENG", "Premier League", C38="de GER", "Bundesliga", C38="es ESP", "La Liga", C38="fr FRA", "Ligue 1")</f>
        <v>Ligue 1</v>
      </c>
      <c r="B38" s="2" t="s">
        <v>128</v>
      </c>
      <c r="C38" s="2" t="s">
        <v>157</v>
      </c>
      <c r="D38" s="2">
        <v>9</v>
      </c>
      <c r="E38" s="2">
        <v>34</v>
      </c>
      <c r="F38" s="2">
        <v>13</v>
      </c>
      <c r="G38" s="2">
        <v>11</v>
      </c>
      <c r="H38" s="2">
        <v>10</v>
      </c>
      <c r="I38" s="2">
        <v>36</v>
      </c>
      <c r="J38" s="2">
        <v>31</v>
      </c>
      <c r="K38" s="2">
        <v>5</v>
      </c>
      <c r="L38" s="2">
        <v>50</v>
      </c>
      <c r="M38" s="2">
        <v>1.47</v>
      </c>
      <c r="N38" s="2"/>
      <c r="O38" s="2" t="s">
        <v>224</v>
      </c>
      <c r="P38" s="2" t="s">
        <v>225</v>
      </c>
    </row>
    <row r="39" spans="1:16" x14ac:dyDescent="0.2">
      <c r="A39" t="str" cm="1">
        <f t="array" ref="A39">_xlfn.IFS(C39="it ITA", "Serie A", C39="eng ENG", "Premier League", C39="de GER", "Bundesliga", C39="es ESP", "La Liga", C39="fr FRA", "Ligue 1")</f>
        <v>Premier League</v>
      </c>
      <c r="B39" s="2" t="s">
        <v>345</v>
      </c>
      <c r="C39" s="2" t="s">
        <v>150</v>
      </c>
      <c r="D39" s="2">
        <v>8</v>
      </c>
      <c r="E39" s="2">
        <v>38</v>
      </c>
      <c r="F39" s="2">
        <v>16</v>
      </c>
      <c r="G39" s="2">
        <v>8</v>
      </c>
      <c r="H39" s="2">
        <v>14</v>
      </c>
      <c r="I39" s="2">
        <v>56</v>
      </c>
      <c r="J39" s="2">
        <v>57</v>
      </c>
      <c r="K39" s="2">
        <v>-1</v>
      </c>
      <c r="L39" s="2">
        <v>56</v>
      </c>
      <c r="M39" s="2">
        <v>1.47</v>
      </c>
      <c r="N39" s="3">
        <v>25075</v>
      </c>
      <c r="O39" s="2" t="s">
        <v>226</v>
      </c>
      <c r="P39" s="2" t="s">
        <v>227</v>
      </c>
    </row>
    <row r="40" spans="1:16" x14ac:dyDescent="0.2">
      <c r="A40" t="str" cm="1">
        <f t="array" ref="A40">_xlfn.IFS(C40="it ITA", "Serie A", C40="eng ENG", "Premier League", C40="de GER", "Bundesliga", C40="es ESP", "La Liga", C40="fr FRA", "Ligue 1")</f>
        <v>Bundesliga</v>
      </c>
      <c r="B40" s="2" t="s">
        <v>84</v>
      </c>
      <c r="C40" s="2" t="s">
        <v>160</v>
      </c>
      <c r="D40" s="2">
        <v>7</v>
      </c>
      <c r="E40" s="2">
        <v>34</v>
      </c>
      <c r="F40" s="2">
        <v>14</v>
      </c>
      <c r="G40" s="2">
        <v>8</v>
      </c>
      <c r="H40" s="2">
        <v>12</v>
      </c>
      <c r="I40" s="2">
        <v>43</v>
      </c>
      <c r="J40" s="2">
        <v>47</v>
      </c>
      <c r="K40" s="2">
        <v>-4</v>
      </c>
      <c r="L40" s="2">
        <v>50</v>
      </c>
      <c r="M40" s="2">
        <v>1.47</v>
      </c>
      <c r="N40" s="2"/>
      <c r="O40" s="2" t="s">
        <v>228</v>
      </c>
      <c r="P40" s="2" t="s">
        <v>229</v>
      </c>
    </row>
    <row r="41" spans="1:16" x14ac:dyDescent="0.2">
      <c r="A41" t="str" cm="1">
        <f t="array" ref="A41">_xlfn.IFS(C41="it ITA", "Serie A", C41="eng ENG", "Premier League", C41="de GER", "Bundesliga", C41="es ESP", "La Liga", C41="fr FRA", "Ligue 1")</f>
        <v>La Liga</v>
      </c>
      <c r="B41" s="2" t="s">
        <v>26</v>
      </c>
      <c r="C41" s="2" t="s">
        <v>165</v>
      </c>
      <c r="D41" s="2">
        <v>9</v>
      </c>
      <c r="E41" s="2">
        <v>38</v>
      </c>
      <c r="F41" s="2">
        <v>16</v>
      </c>
      <c r="G41" s="2">
        <v>7</v>
      </c>
      <c r="H41" s="2">
        <v>15</v>
      </c>
      <c r="I41" s="2">
        <v>58</v>
      </c>
      <c r="J41" s="2">
        <v>52</v>
      </c>
      <c r="K41" s="2">
        <v>6</v>
      </c>
      <c r="L41" s="2">
        <v>55</v>
      </c>
      <c r="M41" s="2">
        <v>1.45</v>
      </c>
      <c r="N41" s="2"/>
      <c r="O41" s="2" t="s">
        <v>230</v>
      </c>
      <c r="P41" s="2" t="s">
        <v>231</v>
      </c>
    </row>
    <row r="42" spans="1:16" x14ac:dyDescent="0.2">
      <c r="A42" t="str" cm="1">
        <f t="array" ref="A42">_xlfn.IFS(C42="it ITA", "Serie A", C42="eng ENG", "Premier League", C42="de GER", "Bundesliga", C42="es ESP", "La Liga", C42="fr FRA", "Ligue 1")</f>
        <v>Premier League</v>
      </c>
      <c r="B42" s="2" t="s">
        <v>107</v>
      </c>
      <c r="C42" s="2" t="s">
        <v>150</v>
      </c>
      <c r="D42" s="2">
        <v>9</v>
      </c>
      <c r="E42" s="2">
        <v>38</v>
      </c>
      <c r="F42" s="2">
        <v>16</v>
      </c>
      <c r="G42" s="2">
        <v>7</v>
      </c>
      <c r="H42" s="2">
        <v>15</v>
      </c>
      <c r="I42" s="2">
        <v>52</v>
      </c>
      <c r="J42" s="2">
        <v>49</v>
      </c>
      <c r="K42" s="2">
        <v>3</v>
      </c>
      <c r="L42" s="2">
        <v>55</v>
      </c>
      <c r="M42" s="2">
        <v>1.45</v>
      </c>
      <c r="N42" s="3">
        <v>29105</v>
      </c>
      <c r="O42" s="2" t="s">
        <v>232</v>
      </c>
      <c r="P42" s="2" t="s">
        <v>233</v>
      </c>
    </row>
    <row r="43" spans="1:16" x14ac:dyDescent="0.2">
      <c r="A43" t="str" cm="1">
        <f t="array" ref="A43">_xlfn.IFS(C43="it ITA", "Serie A", C43="eng ENG", "Premier League", C43="de GER", "Bundesliga", C43="es ESP", "La Liga", C43="fr FRA", "Ligue 1")</f>
        <v>Serie A</v>
      </c>
      <c r="B43" s="2" t="s">
        <v>120</v>
      </c>
      <c r="C43" s="2" t="s">
        <v>147</v>
      </c>
      <c r="D43" s="2">
        <v>8</v>
      </c>
      <c r="E43" s="2">
        <v>34</v>
      </c>
      <c r="F43" s="2">
        <v>12</v>
      </c>
      <c r="G43" s="2">
        <v>12</v>
      </c>
      <c r="H43" s="2">
        <v>10</v>
      </c>
      <c r="I43" s="2">
        <v>55</v>
      </c>
      <c r="J43" s="2">
        <v>46</v>
      </c>
      <c r="K43" s="2">
        <v>9</v>
      </c>
      <c r="L43" s="2">
        <v>48</v>
      </c>
      <c r="M43" s="2">
        <v>1.41</v>
      </c>
      <c r="N43" s="2"/>
      <c r="O43" s="2" t="s">
        <v>234</v>
      </c>
      <c r="P43" s="2" t="s">
        <v>235</v>
      </c>
    </row>
    <row r="44" spans="1:16" x14ac:dyDescent="0.2">
      <c r="A44" t="str" cm="1">
        <f t="array" ref="A44">_xlfn.IFS(C44="it ITA", "Serie A", C44="eng ENG", "Premier League", C44="de GER", "Bundesliga", C44="es ESP", "La Liga", C44="fr FRA", "Ligue 1")</f>
        <v>Serie A</v>
      </c>
      <c r="B44" s="2" t="s">
        <v>58</v>
      </c>
      <c r="C44" s="2" t="s">
        <v>147</v>
      </c>
      <c r="D44" s="2">
        <v>9</v>
      </c>
      <c r="E44" s="2">
        <v>34</v>
      </c>
      <c r="F44" s="2">
        <v>13</v>
      </c>
      <c r="G44" s="2">
        <v>9</v>
      </c>
      <c r="H44" s="2">
        <v>12</v>
      </c>
      <c r="I44" s="2">
        <v>52</v>
      </c>
      <c r="J44" s="2">
        <v>55</v>
      </c>
      <c r="K44" s="2">
        <v>-3</v>
      </c>
      <c r="L44" s="2">
        <v>48</v>
      </c>
      <c r="M44" s="2">
        <v>1.41</v>
      </c>
      <c r="N44" s="2"/>
      <c r="O44" s="2" t="s">
        <v>236</v>
      </c>
      <c r="P44" s="2" t="s">
        <v>237</v>
      </c>
    </row>
    <row r="45" spans="1:16" x14ac:dyDescent="0.2">
      <c r="A45" t="str" cm="1">
        <f t="array" ref="A45">_xlfn.IFS(C45="it ITA", "Serie A", C45="eng ENG", "Premier League", C45="de GER", "Bundesliga", C45="es ESP", "La Liga", C45="fr FRA", "Ligue 1")</f>
        <v>La Liga</v>
      </c>
      <c r="B45" s="2" t="s">
        <v>112</v>
      </c>
      <c r="C45" s="2" t="s">
        <v>165</v>
      </c>
      <c r="D45" s="2">
        <v>10</v>
      </c>
      <c r="E45" s="2">
        <v>38</v>
      </c>
      <c r="F45" s="2">
        <v>12</v>
      </c>
      <c r="G45" s="2">
        <v>17</v>
      </c>
      <c r="H45" s="2">
        <v>9</v>
      </c>
      <c r="I45" s="2">
        <v>44</v>
      </c>
      <c r="J45" s="2">
        <v>31</v>
      </c>
      <c r="K45" s="2">
        <v>13</v>
      </c>
      <c r="L45" s="2">
        <v>53</v>
      </c>
      <c r="M45" s="2">
        <v>1.39</v>
      </c>
      <c r="N45" s="2"/>
      <c r="O45" s="2" t="s">
        <v>238</v>
      </c>
      <c r="P45" s="2" t="s">
        <v>239</v>
      </c>
    </row>
    <row r="46" spans="1:16" x14ac:dyDescent="0.2">
      <c r="A46" t="str" cm="1">
        <f t="array" ref="A46">_xlfn.IFS(C46="it ITA", "Serie A", C46="eng ENG", "Premier League", C46="de GER", "Bundesliga", C46="es ESP", "La Liga", C46="fr FRA", "Ligue 1")</f>
        <v>Premier League</v>
      </c>
      <c r="B46" s="2" t="s">
        <v>108</v>
      </c>
      <c r="C46" s="2" t="s">
        <v>150</v>
      </c>
      <c r="D46" s="2">
        <v>10</v>
      </c>
      <c r="E46" s="2">
        <v>38</v>
      </c>
      <c r="F46" s="2">
        <v>13</v>
      </c>
      <c r="G46" s="2">
        <v>14</v>
      </c>
      <c r="H46" s="2">
        <v>11</v>
      </c>
      <c r="I46" s="2">
        <v>51</v>
      </c>
      <c r="J46" s="2">
        <v>41</v>
      </c>
      <c r="K46" s="2">
        <v>10</v>
      </c>
      <c r="L46" s="2">
        <v>53</v>
      </c>
      <c r="M46" s="2">
        <v>1.39</v>
      </c>
      <c r="N46" s="3">
        <v>20615</v>
      </c>
      <c r="O46" s="2" t="s">
        <v>240</v>
      </c>
      <c r="P46" s="2" t="s">
        <v>241</v>
      </c>
    </row>
    <row r="47" spans="1:16" x14ac:dyDescent="0.2">
      <c r="A47" t="str" cm="1">
        <f t="array" ref="A47">_xlfn.IFS(C47="it ITA", "Serie A", C47="eng ENG", "Premier League", C47="de GER", "Bundesliga", C47="es ESP", "La Liga", C47="fr FRA", "Ligue 1")</f>
        <v>Premier League</v>
      </c>
      <c r="B47" s="2" t="s">
        <v>5</v>
      </c>
      <c r="C47" s="2" t="s">
        <v>150</v>
      </c>
      <c r="D47" s="2">
        <v>11</v>
      </c>
      <c r="E47" s="2">
        <v>38</v>
      </c>
      <c r="F47" s="2">
        <v>12</v>
      </c>
      <c r="G47" s="2">
        <v>16</v>
      </c>
      <c r="H47" s="2">
        <v>10</v>
      </c>
      <c r="I47" s="2">
        <v>46</v>
      </c>
      <c r="J47" s="2">
        <v>44</v>
      </c>
      <c r="K47" s="2">
        <v>2</v>
      </c>
      <c r="L47" s="2">
        <v>52</v>
      </c>
      <c r="M47" s="2">
        <v>1.37</v>
      </c>
      <c r="N47" s="3">
        <v>19723</v>
      </c>
      <c r="O47" s="2" t="s">
        <v>242</v>
      </c>
      <c r="P47" s="2" t="s">
        <v>243</v>
      </c>
    </row>
    <row r="48" spans="1:16" x14ac:dyDescent="0.2">
      <c r="A48" t="str" cm="1">
        <f t="array" ref="A48">_xlfn.IFS(C48="it ITA", "Serie A", C48="eng ENG", "Premier League", C48="de GER", "Bundesliga", C48="es ESP", "La Liga", C48="fr FRA", "Ligue 1")</f>
        <v>La Liga</v>
      </c>
      <c r="B48" s="2" t="s">
        <v>34</v>
      </c>
      <c r="C48" s="2" t="s">
        <v>165</v>
      </c>
      <c r="D48" s="2">
        <v>11</v>
      </c>
      <c r="E48" s="2">
        <v>38</v>
      </c>
      <c r="F48" s="2">
        <v>13</v>
      </c>
      <c r="G48" s="2">
        <v>11</v>
      </c>
      <c r="H48" s="2">
        <v>14</v>
      </c>
      <c r="I48" s="2">
        <v>36</v>
      </c>
      <c r="J48" s="2">
        <v>47</v>
      </c>
      <c r="K48" s="2">
        <v>-11</v>
      </c>
      <c r="L48" s="2">
        <v>50</v>
      </c>
      <c r="M48" s="2">
        <v>1.32</v>
      </c>
      <c r="N48" s="2"/>
      <c r="O48" s="2" t="s">
        <v>244</v>
      </c>
      <c r="P48" s="2" t="s">
        <v>245</v>
      </c>
    </row>
    <row r="49" spans="1:16" x14ac:dyDescent="0.2">
      <c r="A49" t="str" cm="1">
        <f t="array" ref="A49">_xlfn.IFS(C49="it ITA", "Serie A", C49="eng ENG", "Premier League", C49="de GER", "Bundesliga", C49="es ESP", "La Liga", C49="fr FRA", "Ligue 1")</f>
        <v>Ligue 1</v>
      </c>
      <c r="B49" s="2" t="s">
        <v>98</v>
      </c>
      <c r="C49" s="2" t="s">
        <v>157</v>
      </c>
      <c r="D49" s="2">
        <v>10</v>
      </c>
      <c r="E49" s="2">
        <v>34</v>
      </c>
      <c r="F49" s="2">
        <v>10</v>
      </c>
      <c r="G49" s="2">
        <v>14</v>
      </c>
      <c r="H49" s="2">
        <v>10</v>
      </c>
      <c r="I49" s="2">
        <v>38</v>
      </c>
      <c r="J49" s="2">
        <v>35</v>
      </c>
      <c r="K49" s="2">
        <v>3</v>
      </c>
      <c r="L49" s="2">
        <v>44</v>
      </c>
      <c r="M49" s="2">
        <v>1.29</v>
      </c>
      <c r="N49" s="2"/>
      <c r="O49" s="2" t="s">
        <v>246</v>
      </c>
      <c r="P49" s="2" t="s">
        <v>247</v>
      </c>
    </row>
    <row r="50" spans="1:16" x14ac:dyDescent="0.2">
      <c r="A50" t="str" cm="1">
        <f t="array" ref="A50">_xlfn.IFS(C50="it ITA", "Serie A", C50="eng ENG", "Premier League", C50="de GER", "Bundesliga", C50="es ESP", "La Liga", C50="fr FRA", "Ligue 1")</f>
        <v>Bundesliga</v>
      </c>
      <c r="B50" s="2" t="s">
        <v>77</v>
      </c>
      <c r="C50" s="2" t="s">
        <v>160</v>
      </c>
      <c r="D50" s="2">
        <v>8</v>
      </c>
      <c r="E50" s="2">
        <v>34</v>
      </c>
      <c r="F50" s="2">
        <v>11</v>
      </c>
      <c r="G50" s="2">
        <v>11</v>
      </c>
      <c r="H50" s="2">
        <v>12</v>
      </c>
      <c r="I50" s="2">
        <v>43</v>
      </c>
      <c r="J50" s="2">
        <v>44</v>
      </c>
      <c r="K50" s="2">
        <v>-1</v>
      </c>
      <c r="L50" s="2">
        <v>44</v>
      </c>
      <c r="M50" s="2">
        <v>1.29</v>
      </c>
      <c r="N50" s="2"/>
      <c r="O50" s="2" t="s">
        <v>248</v>
      </c>
      <c r="P50" s="2" t="s">
        <v>249</v>
      </c>
    </row>
    <row r="51" spans="1:16" x14ac:dyDescent="0.2">
      <c r="A51" t="str" cm="1">
        <f t="array" ref="A51">_xlfn.IFS(C51="it ITA", "Serie A", C51="eng ENG", "Premier League", C51="de GER", "Bundesliga", C51="es ESP", "La Liga", C51="fr FRA", "Ligue 1")</f>
        <v>La Liga</v>
      </c>
      <c r="B51" s="2" t="s">
        <v>346</v>
      </c>
      <c r="C51" s="2" t="s">
        <v>165</v>
      </c>
      <c r="D51" s="2">
        <v>12</v>
      </c>
      <c r="E51" s="2">
        <v>38</v>
      </c>
      <c r="F51" s="2">
        <v>12</v>
      </c>
      <c r="G51" s="2">
        <v>13</v>
      </c>
      <c r="H51" s="2">
        <v>13</v>
      </c>
      <c r="I51" s="2">
        <v>44</v>
      </c>
      <c r="J51" s="2">
        <v>46</v>
      </c>
      <c r="K51" s="2">
        <v>-2</v>
      </c>
      <c r="L51" s="2">
        <v>49</v>
      </c>
      <c r="M51" s="2">
        <v>1.29</v>
      </c>
      <c r="N51" s="2"/>
      <c r="O51" s="2" t="s">
        <v>250</v>
      </c>
      <c r="P51" s="2" t="s">
        <v>251</v>
      </c>
    </row>
    <row r="52" spans="1:16" x14ac:dyDescent="0.2">
      <c r="A52" t="str" cm="1">
        <f t="array" ref="A52">_xlfn.IFS(C52="it ITA", "Serie A", C52="eng ENG", "Premier League", C52="de GER", "Bundesliga", C52="es ESP", "La Liga", C52="fr FRA", "Ligue 1")</f>
        <v>Serie A</v>
      </c>
      <c r="B52" s="2" t="s">
        <v>52</v>
      </c>
      <c r="C52" s="2" t="s">
        <v>147</v>
      </c>
      <c r="D52" s="2">
        <v>10</v>
      </c>
      <c r="E52" s="2">
        <v>34</v>
      </c>
      <c r="F52" s="2">
        <v>11</v>
      </c>
      <c r="G52" s="2">
        <v>11</v>
      </c>
      <c r="H52" s="2">
        <v>12</v>
      </c>
      <c r="I52" s="2">
        <v>37</v>
      </c>
      <c r="J52" s="2">
        <v>43</v>
      </c>
      <c r="K52" s="2">
        <v>-6</v>
      </c>
      <c r="L52" s="2">
        <v>44</v>
      </c>
      <c r="M52" s="2">
        <v>1.29</v>
      </c>
      <c r="N52" s="2"/>
      <c r="O52" s="2" t="s">
        <v>252</v>
      </c>
      <c r="P52" s="2" t="s">
        <v>253</v>
      </c>
    </row>
    <row r="53" spans="1:16" x14ac:dyDescent="0.2">
      <c r="A53" t="str" cm="1">
        <f t="array" ref="A53">_xlfn.IFS(C53="it ITA", "Serie A", C53="eng ENG", "Premier League", C53="de GER", "Bundesliga", C53="es ESP", "La Liga", C53="fr FRA", "Ligue 1")</f>
        <v>Bundesliga</v>
      </c>
      <c r="B53" s="2" t="s">
        <v>71</v>
      </c>
      <c r="C53" s="2" t="s">
        <v>160</v>
      </c>
      <c r="D53" s="2">
        <v>9</v>
      </c>
      <c r="E53" s="2">
        <v>34</v>
      </c>
      <c r="F53" s="2">
        <v>11</v>
      </c>
      <c r="G53" s="2">
        <v>11</v>
      </c>
      <c r="H53" s="2">
        <v>12</v>
      </c>
      <c r="I53" s="2">
        <v>38</v>
      </c>
      <c r="J53" s="2">
        <v>46</v>
      </c>
      <c r="K53" s="2">
        <v>-8</v>
      </c>
      <c r="L53" s="2">
        <v>44</v>
      </c>
      <c r="M53" s="2">
        <v>1.29</v>
      </c>
      <c r="N53" s="2"/>
      <c r="O53" s="2" t="s">
        <v>254</v>
      </c>
      <c r="P53" s="2" t="s">
        <v>255</v>
      </c>
    </row>
    <row r="54" spans="1:16" x14ac:dyDescent="0.2">
      <c r="A54" t="str" cm="1">
        <f t="array" ref="A54">_xlfn.IFS(C54="it ITA", "Serie A", C54="eng ENG", "Premier League", C54="de GER", "Bundesliga", C54="es ESP", "La Liga", C54="fr FRA", "Ligue 1")</f>
        <v>Bundesliga</v>
      </c>
      <c r="B54" s="2" t="s">
        <v>65</v>
      </c>
      <c r="C54" s="2" t="s">
        <v>160</v>
      </c>
      <c r="D54" s="2">
        <v>10</v>
      </c>
      <c r="E54" s="2">
        <v>34</v>
      </c>
      <c r="F54" s="2">
        <v>11</v>
      </c>
      <c r="G54" s="2">
        <v>10</v>
      </c>
      <c r="H54" s="2">
        <v>13</v>
      </c>
      <c r="I54" s="2">
        <v>57</v>
      </c>
      <c r="J54" s="2">
        <v>55</v>
      </c>
      <c r="K54" s="2">
        <v>2</v>
      </c>
      <c r="L54" s="2">
        <v>43</v>
      </c>
      <c r="M54" s="2">
        <v>1.26</v>
      </c>
      <c r="N54" s="2"/>
      <c r="O54" s="2" t="s">
        <v>256</v>
      </c>
      <c r="P54" s="2" t="s">
        <v>257</v>
      </c>
    </row>
    <row r="55" spans="1:16" x14ac:dyDescent="0.2">
      <c r="A55" t="str" cm="1">
        <f t="array" ref="A55">_xlfn.IFS(C55="it ITA", "Serie A", C55="eng ENG", "Premier League", C55="de GER", "Bundesliga", C55="es ESP", "La Liga", C55="fr FRA", "Ligue 1")</f>
        <v>Premier League</v>
      </c>
      <c r="B55" s="2" t="s">
        <v>18</v>
      </c>
      <c r="C55" s="2" t="s">
        <v>150</v>
      </c>
      <c r="D55" s="2">
        <v>12</v>
      </c>
      <c r="E55" s="2">
        <v>38</v>
      </c>
      <c r="F55" s="2">
        <v>14</v>
      </c>
      <c r="G55" s="2">
        <v>6</v>
      </c>
      <c r="H55" s="2">
        <v>18</v>
      </c>
      <c r="I55" s="2">
        <v>50</v>
      </c>
      <c r="J55" s="2">
        <v>55</v>
      </c>
      <c r="K55" s="2">
        <v>-5</v>
      </c>
      <c r="L55" s="2">
        <v>48</v>
      </c>
      <c r="M55" s="2">
        <v>1.26</v>
      </c>
      <c r="N55" s="3">
        <v>15159</v>
      </c>
      <c r="O55" s="2" t="s">
        <v>258</v>
      </c>
      <c r="P55" s="2" t="s">
        <v>259</v>
      </c>
    </row>
    <row r="56" spans="1:16" x14ac:dyDescent="0.2">
      <c r="A56" t="str" cm="1">
        <f t="array" ref="A56">_xlfn.IFS(C56="it ITA", "Serie A", C56="eng ENG", "Premier League", C56="de GER", "Bundesliga", C56="es ESP", "La Liga", C56="fr FRA", "Ligue 1")</f>
        <v>La Liga</v>
      </c>
      <c r="B56" s="2" t="s">
        <v>118</v>
      </c>
      <c r="C56" s="2" t="s">
        <v>165</v>
      </c>
      <c r="D56" s="2">
        <v>13</v>
      </c>
      <c r="E56" s="2">
        <v>38</v>
      </c>
      <c r="F56" s="2">
        <v>12</v>
      </c>
      <c r="G56" s="2">
        <v>12</v>
      </c>
      <c r="H56" s="2">
        <v>14</v>
      </c>
      <c r="I56" s="2">
        <v>45</v>
      </c>
      <c r="J56" s="2">
        <v>53</v>
      </c>
      <c r="K56" s="2">
        <v>-8</v>
      </c>
      <c r="L56" s="2">
        <v>48</v>
      </c>
      <c r="M56" s="2">
        <v>1.26</v>
      </c>
      <c r="N56" s="2"/>
      <c r="O56" s="2" t="s">
        <v>260</v>
      </c>
      <c r="P56" s="2" t="s">
        <v>261</v>
      </c>
    </row>
    <row r="57" spans="1:16" x14ac:dyDescent="0.2">
      <c r="A57" t="str" cm="1">
        <f t="array" ref="A57">_xlfn.IFS(C57="it ITA", "Serie A", C57="eng ENG", "Premier League", C57="de GER", "Bundesliga", C57="es ESP", "La Liga", C57="fr FRA", "Ligue 1")</f>
        <v>Bundesliga</v>
      </c>
      <c r="B57" s="2" t="s">
        <v>126</v>
      </c>
      <c r="C57" s="2" t="s">
        <v>160</v>
      </c>
      <c r="D57" s="2">
        <v>11</v>
      </c>
      <c r="E57" s="2">
        <v>34</v>
      </c>
      <c r="F57" s="2">
        <v>12</v>
      </c>
      <c r="G57" s="2">
        <v>7</v>
      </c>
      <c r="H57" s="2">
        <v>15</v>
      </c>
      <c r="I57" s="2">
        <v>41</v>
      </c>
      <c r="J57" s="2">
        <v>53</v>
      </c>
      <c r="K57" s="2">
        <v>-12</v>
      </c>
      <c r="L57" s="2">
        <v>43</v>
      </c>
      <c r="M57" s="2">
        <v>1.26</v>
      </c>
      <c r="N57" s="2"/>
      <c r="O57" s="2" t="s">
        <v>262</v>
      </c>
      <c r="P57" s="2" t="s">
        <v>263</v>
      </c>
    </row>
    <row r="58" spans="1:16" x14ac:dyDescent="0.2">
      <c r="A58" t="str" cm="1">
        <f t="array" ref="A58">_xlfn.IFS(C58="it ITA", "Serie A", C58="eng ENG", "Premier League", C58="de GER", "Bundesliga", C58="es ESP", "La Liga", C58="fr FRA", "Ligue 1")</f>
        <v>Ligue 1</v>
      </c>
      <c r="B58" s="2" t="s">
        <v>86</v>
      </c>
      <c r="C58" s="2" t="s">
        <v>157</v>
      </c>
      <c r="D58" s="2">
        <v>11</v>
      </c>
      <c r="E58" s="2">
        <v>34</v>
      </c>
      <c r="F58" s="2">
        <v>11</v>
      </c>
      <c r="G58" s="2">
        <v>8</v>
      </c>
      <c r="H58" s="2">
        <v>15</v>
      </c>
      <c r="I58" s="2">
        <v>35</v>
      </c>
      <c r="J58" s="2">
        <v>41</v>
      </c>
      <c r="K58" s="2">
        <v>-6</v>
      </c>
      <c r="L58" s="2">
        <v>41</v>
      </c>
      <c r="M58" s="2">
        <v>1.21</v>
      </c>
      <c r="N58" s="2"/>
      <c r="O58" s="2" t="s">
        <v>264</v>
      </c>
      <c r="P58" s="2" t="s">
        <v>265</v>
      </c>
    </row>
    <row r="59" spans="1:16" x14ac:dyDescent="0.2">
      <c r="A59" t="str" cm="1">
        <f t="array" ref="A59">_xlfn.IFS(C59="it ITA", "Serie A", C59="eng ENG", "Premier League", C59="de GER", "Bundesliga", C59="es ESP", "La Liga", C59="fr FRA", "Ligue 1")</f>
        <v>Bundesliga</v>
      </c>
      <c r="B59" s="2" t="s">
        <v>83</v>
      </c>
      <c r="C59" s="2" t="s">
        <v>160</v>
      </c>
      <c r="D59" s="2">
        <v>12</v>
      </c>
      <c r="E59" s="2">
        <v>34</v>
      </c>
      <c r="F59" s="2">
        <v>11</v>
      </c>
      <c r="G59" s="2">
        <v>8</v>
      </c>
      <c r="H59" s="2">
        <v>15</v>
      </c>
      <c r="I59" s="2">
        <v>41</v>
      </c>
      <c r="J59" s="2">
        <v>49</v>
      </c>
      <c r="K59" s="2">
        <v>-8</v>
      </c>
      <c r="L59" s="2">
        <v>41</v>
      </c>
      <c r="M59" s="2">
        <v>1.21</v>
      </c>
      <c r="N59" s="2"/>
      <c r="O59" s="2" t="s">
        <v>266</v>
      </c>
      <c r="P59" s="2" t="s">
        <v>267</v>
      </c>
    </row>
    <row r="60" spans="1:16" x14ac:dyDescent="0.2">
      <c r="A60" t="str" cm="1">
        <f t="array" ref="A60">_xlfn.IFS(C60="it ITA", "Serie A", C60="eng ENG", "Premier League", C60="de GER", "Bundesliga", C60="es ESP", "La Liga", C60="fr FRA", "Ligue 1")</f>
        <v>Ligue 1</v>
      </c>
      <c r="B60" s="3" t="s">
        <v>88</v>
      </c>
      <c r="C60" s="2" t="s">
        <v>157</v>
      </c>
      <c r="D60" s="2">
        <v>12</v>
      </c>
      <c r="E60" s="2">
        <v>34</v>
      </c>
      <c r="F60" s="2">
        <v>10</v>
      </c>
      <c r="G60" s="2">
        <v>11</v>
      </c>
      <c r="H60" s="2">
        <v>13</v>
      </c>
      <c r="I60" s="2">
        <v>32</v>
      </c>
      <c r="J60" s="2">
        <v>42</v>
      </c>
      <c r="K60" s="2">
        <v>-10</v>
      </c>
      <c r="L60" s="2">
        <v>41</v>
      </c>
      <c r="M60" s="2">
        <v>1.21</v>
      </c>
      <c r="N60" s="2"/>
      <c r="O60" s="2" t="s">
        <v>268</v>
      </c>
      <c r="P60" s="2" t="s">
        <v>269</v>
      </c>
    </row>
    <row r="61" spans="1:16" x14ac:dyDescent="0.2">
      <c r="A61" t="str" cm="1">
        <f t="array" ref="A61">_xlfn.IFS(C61="it ITA", "Serie A", C61="eng ENG", "Premier League", C61="de GER", "Bundesliga", C61="es ESP", "La Liga", C61="fr FRA", "Ligue 1")</f>
        <v>Bundesliga</v>
      </c>
      <c r="B61" s="3" t="s">
        <v>347</v>
      </c>
      <c r="C61" s="2" t="s">
        <v>160</v>
      </c>
      <c r="D61" s="2">
        <v>13</v>
      </c>
      <c r="E61" s="2">
        <v>34</v>
      </c>
      <c r="F61" s="2">
        <v>11</v>
      </c>
      <c r="G61" s="2">
        <v>8</v>
      </c>
      <c r="H61" s="2">
        <v>15</v>
      </c>
      <c r="I61" s="2">
        <v>43</v>
      </c>
      <c r="J61" s="2">
        <v>54</v>
      </c>
      <c r="K61" s="2">
        <v>-11</v>
      </c>
      <c r="L61" s="2">
        <v>41</v>
      </c>
      <c r="M61" s="2">
        <v>1.21</v>
      </c>
      <c r="N61" s="2"/>
      <c r="O61" s="2" t="s">
        <v>270</v>
      </c>
      <c r="P61" s="2" t="s">
        <v>271</v>
      </c>
    </row>
    <row r="62" spans="1:16" x14ac:dyDescent="0.2">
      <c r="A62" t="str" cm="1">
        <f t="array" ref="A62">_xlfn.IFS(C62="it ITA", "Serie A", C62="eng ENG", "Premier League", C62="de GER", "Bundesliga", C62="es ESP", "La Liga", C62="fr FRA", "Ligue 1")</f>
        <v>La Liga</v>
      </c>
      <c r="B62" s="3" t="s">
        <v>116</v>
      </c>
      <c r="C62" s="2" t="s">
        <v>165</v>
      </c>
      <c r="D62" s="2">
        <v>15</v>
      </c>
      <c r="E62" s="2">
        <v>38</v>
      </c>
      <c r="F62" s="2">
        <v>12</v>
      </c>
      <c r="G62" s="2">
        <v>9</v>
      </c>
      <c r="H62" s="2">
        <v>17</v>
      </c>
      <c r="I62" s="2">
        <v>46</v>
      </c>
      <c r="J62" s="2">
        <v>46</v>
      </c>
      <c r="K62" s="2">
        <v>0</v>
      </c>
      <c r="L62" s="2">
        <v>45</v>
      </c>
      <c r="M62" s="2">
        <v>1.18</v>
      </c>
      <c r="N62" s="2"/>
      <c r="O62" s="2" t="s">
        <v>272</v>
      </c>
      <c r="P62" s="2" t="s">
        <v>273</v>
      </c>
    </row>
    <row r="63" spans="1:16" x14ac:dyDescent="0.2">
      <c r="A63" t="str" cm="1">
        <f t="array" ref="A63">_xlfn.IFS(C63="it ITA", "Serie A", C63="eng ENG", "Premier League", C63="de GER", "Bundesliga", C63="es ESP", "La Liga", C63="fr FRA", "Ligue 1")</f>
        <v>La Liga</v>
      </c>
      <c r="B63" s="3" t="s">
        <v>348</v>
      </c>
      <c r="C63" s="2" t="s">
        <v>165</v>
      </c>
      <c r="D63" s="2">
        <v>14</v>
      </c>
      <c r="E63" s="2">
        <v>38</v>
      </c>
      <c r="F63" s="2">
        <v>12</v>
      </c>
      <c r="G63" s="2">
        <v>9</v>
      </c>
      <c r="H63" s="2">
        <v>17</v>
      </c>
      <c r="I63" s="2">
        <v>46</v>
      </c>
      <c r="J63" s="2">
        <v>55</v>
      </c>
      <c r="K63" s="2">
        <v>-9</v>
      </c>
      <c r="L63" s="2">
        <v>45</v>
      </c>
      <c r="M63" s="2">
        <v>1.18</v>
      </c>
      <c r="N63" s="2"/>
      <c r="O63" s="2" t="s">
        <v>274</v>
      </c>
      <c r="P63" s="2" t="s">
        <v>275</v>
      </c>
    </row>
    <row r="64" spans="1:16" x14ac:dyDescent="0.2">
      <c r="A64" t="str" cm="1">
        <f t="array" ref="A64">_xlfn.IFS(C64="it ITA", "Serie A", C64="eng ENG", "Premier League", C64="de GER", "Bundesliga", C64="es ESP", "La Liga", C64="fr FRA", "Ligue 1")</f>
        <v>La Liga</v>
      </c>
      <c r="B64" s="3" t="s">
        <v>36</v>
      </c>
      <c r="C64" s="2" t="s">
        <v>165</v>
      </c>
      <c r="D64" s="2">
        <v>16</v>
      </c>
      <c r="E64" s="2">
        <v>38</v>
      </c>
      <c r="F64" s="2">
        <v>11</v>
      </c>
      <c r="G64" s="2">
        <v>12</v>
      </c>
      <c r="H64" s="2">
        <v>15</v>
      </c>
      <c r="I64" s="2">
        <v>44</v>
      </c>
      <c r="J64" s="2">
        <v>57</v>
      </c>
      <c r="K64" s="2">
        <v>-13</v>
      </c>
      <c r="L64" s="2">
        <v>45</v>
      </c>
      <c r="M64" s="2">
        <v>1.18</v>
      </c>
      <c r="N64" s="2"/>
      <c r="O64" s="2" t="s">
        <v>276</v>
      </c>
      <c r="P64" s="2" t="s">
        <v>277</v>
      </c>
    </row>
    <row r="65" spans="1:16" x14ac:dyDescent="0.2">
      <c r="A65" t="str" cm="1">
        <f t="array" ref="A65">_xlfn.IFS(C65="it ITA", "Serie A", C65="eng ENG", "Premier League", C65="de GER", "Bundesliga", C65="es ESP", "La Liga", C65="fr FRA", "Ligue 1")</f>
        <v>Premier League</v>
      </c>
      <c r="B65" s="3" t="s">
        <v>349</v>
      </c>
      <c r="C65" s="2" t="s">
        <v>150</v>
      </c>
      <c r="D65" s="2">
        <v>13</v>
      </c>
      <c r="E65" s="2">
        <v>38</v>
      </c>
      <c r="F65" s="2">
        <v>11</v>
      </c>
      <c r="G65" s="2">
        <v>11</v>
      </c>
      <c r="H65" s="2">
        <v>16</v>
      </c>
      <c r="I65" s="2">
        <v>35</v>
      </c>
      <c r="J65" s="2">
        <v>44</v>
      </c>
      <c r="K65" s="2">
        <v>-9</v>
      </c>
      <c r="L65" s="2">
        <v>44</v>
      </c>
      <c r="M65" s="2">
        <v>1.1599999999999999</v>
      </c>
      <c r="N65" s="3">
        <v>36671</v>
      </c>
      <c r="O65" s="2" t="s">
        <v>278</v>
      </c>
      <c r="P65" s="2" t="s">
        <v>279</v>
      </c>
    </row>
    <row r="66" spans="1:16" x14ac:dyDescent="0.2">
      <c r="A66" t="str" cm="1">
        <f t="array" ref="A66">_xlfn.IFS(C66="it ITA", "Serie A", C66="eng ENG", "Premier League", C66="de GER", "Bundesliga", C66="es ESP", "La Liga", C66="fr FRA", "Ligue 1")</f>
        <v>La Liga</v>
      </c>
      <c r="B66" s="3" t="s">
        <v>111</v>
      </c>
      <c r="C66" s="2" t="s">
        <v>165</v>
      </c>
      <c r="D66" s="2">
        <v>17</v>
      </c>
      <c r="E66" s="2">
        <v>38</v>
      </c>
      <c r="F66" s="2">
        <v>11</v>
      </c>
      <c r="G66" s="2">
        <v>11</v>
      </c>
      <c r="H66" s="2">
        <v>16</v>
      </c>
      <c r="I66" s="2">
        <v>56</v>
      </c>
      <c r="J66" s="2">
        <v>66</v>
      </c>
      <c r="K66" s="2">
        <v>-10</v>
      </c>
      <c r="L66" s="2">
        <v>44</v>
      </c>
      <c r="M66" s="2">
        <v>1.1599999999999999</v>
      </c>
      <c r="N66" s="2"/>
      <c r="O66" s="2" t="s">
        <v>280</v>
      </c>
      <c r="P66" s="2" t="s">
        <v>281</v>
      </c>
    </row>
    <row r="67" spans="1:16" x14ac:dyDescent="0.2">
      <c r="A67" t="str" cm="1">
        <f t="array" ref="A67">_xlfn.IFS(C67="it ITA", "Serie A", C67="eng ENG", "Premier League", C67="de GER", "Bundesliga", C67="es ESP", "La Liga", C67="fr FRA", "Ligue 1")</f>
        <v>Premier League</v>
      </c>
      <c r="B67" s="3" t="s">
        <v>350</v>
      </c>
      <c r="C67" s="2" t="s">
        <v>150</v>
      </c>
      <c r="D67" s="2">
        <v>14</v>
      </c>
      <c r="E67" s="2">
        <v>38</v>
      </c>
      <c r="F67" s="2">
        <v>11</v>
      </c>
      <c r="G67" s="2">
        <v>11</v>
      </c>
      <c r="H67" s="2">
        <v>16</v>
      </c>
      <c r="I67" s="2">
        <v>44</v>
      </c>
      <c r="J67" s="2">
        <v>56</v>
      </c>
      <c r="K67" s="2">
        <v>-12</v>
      </c>
      <c r="L67" s="2">
        <v>44</v>
      </c>
      <c r="M67" s="2">
        <v>1.1599999999999999</v>
      </c>
      <c r="N67" s="3">
        <v>29144</v>
      </c>
      <c r="O67" s="2" t="s">
        <v>282</v>
      </c>
      <c r="P67" s="2" t="s">
        <v>283</v>
      </c>
    </row>
    <row r="68" spans="1:16" x14ac:dyDescent="0.2">
      <c r="A68" t="str" cm="1">
        <f t="array" ref="A68">_xlfn.IFS(C68="it ITA", "Serie A", C68="eng ENG", "Premier League", C68="de GER", "Bundesliga", C68="es ESP", "La Liga", C68="fr FRA", "Ligue 1")</f>
        <v>Premier League</v>
      </c>
      <c r="B68" s="3" t="s">
        <v>22</v>
      </c>
      <c r="C68" s="2" t="s">
        <v>150</v>
      </c>
      <c r="D68" s="2">
        <v>15</v>
      </c>
      <c r="E68" s="2">
        <v>38</v>
      </c>
      <c r="F68" s="2">
        <v>10</v>
      </c>
      <c r="G68" s="2">
        <v>14</v>
      </c>
      <c r="H68" s="2">
        <v>14</v>
      </c>
      <c r="I68" s="2">
        <v>34</v>
      </c>
      <c r="J68" s="2">
        <v>46</v>
      </c>
      <c r="K68" s="2">
        <v>-12</v>
      </c>
      <c r="L68" s="2">
        <v>44</v>
      </c>
      <c r="M68" s="2">
        <v>1.1599999999999999</v>
      </c>
      <c r="N68" s="3">
        <v>16666</v>
      </c>
      <c r="O68" s="2" t="s">
        <v>284</v>
      </c>
      <c r="P68" s="2" t="s">
        <v>285</v>
      </c>
    </row>
    <row r="69" spans="1:16" x14ac:dyDescent="0.2">
      <c r="A69" t="str" cm="1">
        <f t="array" ref="A69">_xlfn.IFS(C69="it ITA", "Serie A", C69="eng ENG", "Premier League", C69="de GER", "Bundesliga", C69="es ESP", "La Liga", C69="fr FRA", "Ligue 1")</f>
        <v>Premier League</v>
      </c>
      <c r="B69" s="3" t="s">
        <v>351</v>
      </c>
      <c r="C69" s="2" t="s">
        <v>150</v>
      </c>
      <c r="D69" s="2">
        <v>16</v>
      </c>
      <c r="E69" s="2">
        <v>38</v>
      </c>
      <c r="F69" s="2">
        <v>12</v>
      </c>
      <c r="G69" s="2">
        <v>8</v>
      </c>
      <c r="H69" s="2">
        <v>18</v>
      </c>
      <c r="I69" s="2">
        <v>52</v>
      </c>
      <c r="J69" s="2">
        <v>67</v>
      </c>
      <c r="K69" s="2">
        <v>-15</v>
      </c>
      <c r="L69" s="2">
        <v>44</v>
      </c>
      <c r="M69" s="2">
        <v>1.1599999999999999</v>
      </c>
      <c r="N69" s="3">
        <v>28706</v>
      </c>
      <c r="O69" s="2" t="s">
        <v>286</v>
      </c>
      <c r="P69" s="2" t="s">
        <v>287</v>
      </c>
    </row>
    <row r="70" spans="1:16" x14ac:dyDescent="0.2">
      <c r="A70" t="str" cm="1">
        <f t="array" ref="A70">_xlfn.IFS(C70="it ITA", "Serie A", C70="eng ENG", "Premier League", C70="de GER", "Bundesliga", C70="es ESP", "La Liga", C70="fr FRA", "Ligue 1")</f>
        <v>Bundesliga</v>
      </c>
      <c r="B70" s="3" t="s">
        <v>352</v>
      </c>
      <c r="C70" s="2" t="s">
        <v>160</v>
      </c>
      <c r="D70" s="2">
        <v>14</v>
      </c>
      <c r="E70" s="2">
        <v>34</v>
      </c>
      <c r="F70" s="2">
        <v>11</v>
      </c>
      <c r="G70" s="2">
        <v>6</v>
      </c>
      <c r="H70" s="2">
        <v>17</v>
      </c>
      <c r="I70" s="2">
        <v>38</v>
      </c>
      <c r="J70" s="2">
        <v>54</v>
      </c>
      <c r="K70" s="2">
        <v>-16</v>
      </c>
      <c r="L70" s="2">
        <v>39</v>
      </c>
      <c r="M70" s="2">
        <v>1.1499999999999999</v>
      </c>
      <c r="N70" s="2"/>
      <c r="O70" s="2" t="s">
        <v>288</v>
      </c>
      <c r="P70" s="2" t="s">
        <v>289</v>
      </c>
    </row>
    <row r="71" spans="1:16" x14ac:dyDescent="0.2">
      <c r="A71" t="str" cm="1">
        <f t="array" ref="A71">_xlfn.IFS(C71="it ITA", "Serie A", C71="eng ENG", "Premier League", C71="de GER", "Bundesliga", C71="es ESP", "La Liga", C71="fr FRA", "Ligue 1")</f>
        <v>Bundesliga</v>
      </c>
      <c r="B71" s="3" t="s">
        <v>353</v>
      </c>
      <c r="C71" s="2" t="s">
        <v>160</v>
      </c>
      <c r="D71" s="2">
        <v>15</v>
      </c>
      <c r="E71" s="2">
        <v>34</v>
      </c>
      <c r="F71" s="2">
        <v>9</v>
      </c>
      <c r="G71" s="2">
        <v>11</v>
      </c>
      <c r="H71" s="2">
        <v>14</v>
      </c>
      <c r="I71" s="2">
        <v>54</v>
      </c>
      <c r="J71" s="2">
        <v>59</v>
      </c>
      <c r="K71" s="2">
        <v>-5</v>
      </c>
      <c r="L71" s="2">
        <v>38</v>
      </c>
      <c r="M71" s="2">
        <v>1.1200000000000001</v>
      </c>
      <c r="N71" s="2"/>
      <c r="O71" s="2" t="s">
        <v>290</v>
      </c>
      <c r="P71" s="2" t="s">
        <v>291</v>
      </c>
    </row>
    <row r="72" spans="1:16" x14ac:dyDescent="0.2">
      <c r="A72" t="str" cm="1">
        <f t="array" ref="A72">_xlfn.IFS(C72="it ITA", "Serie A", C72="eng ENG", "Premier League", C72="de GER", "Bundesliga", C72="es ESP", "La Liga", C72="fr FRA", "Ligue 1")</f>
        <v>Bundesliga</v>
      </c>
      <c r="B72" s="3" t="s">
        <v>354</v>
      </c>
      <c r="C72" s="2" t="s">
        <v>160</v>
      </c>
      <c r="D72" s="2">
        <v>16</v>
      </c>
      <c r="E72" s="2">
        <v>34</v>
      </c>
      <c r="F72" s="2">
        <v>9</v>
      </c>
      <c r="G72" s="2">
        <v>11</v>
      </c>
      <c r="H72" s="2">
        <v>14</v>
      </c>
      <c r="I72" s="2">
        <v>48</v>
      </c>
      <c r="J72" s="2">
        <v>60</v>
      </c>
      <c r="K72" s="2">
        <v>-12</v>
      </c>
      <c r="L72" s="2">
        <v>38</v>
      </c>
      <c r="M72" s="2">
        <v>1.1200000000000001</v>
      </c>
      <c r="N72" s="2"/>
      <c r="O72" s="2" t="s">
        <v>292</v>
      </c>
      <c r="P72" s="2" t="s">
        <v>293</v>
      </c>
    </row>
    <row r="73" spans="1:16" x14ac:dyDescent="0.2">
      <c r="A73" t="str" cm="1">
        <f t="array" ref="A73">_xlfn.IFS(C73="it ITA", "Serie A", C73="eng ENG", "Premier League", C73="de GER", "Bundesliga", C73="es ESP", "La Liga", C73="fr FRA", "Ligue 1")</f>
        <v>Serie A</v>
      </c>
      <c r="B73" s="3" t="s">
        <v>119</v>
      </c>
      <c r="C73" s="2" t="s">
        <v>147</v>
      </c>
      <c r="D73" s="2">
        <v>11</v>
      </c>
      <c r="E73" s="2">
        <v>34</v>
      </c>
      <c r="F73" s="2">
        <v>10</v>
      </c>
      <c r="G73" s="2">
        <v>8</v>
      </c>
      <c r="H73" s="2">
        <v>16</v>
      </c>
      <c r="I73" s="2">
        <v>30</v>
      </c>
      <c r="J73" s="2">
        <v>45</v>
      </c>
      <c r="K73" s="2">
        <v>-15</v>
      </c>
      <c r="L73" s="2">
        <v>38</v>
      </c>
      <c r="M73" s="2">
        <v>1.1200000000000001</v>
      </c>
      <c r="N73" s="2"/>
      <c r="O73" s="2" t="s">
        <v>294</v>
      </c>
      <c r="P73" s="2" t="s">
        <v>295</v>
      </c>
    </row>
    <row r="74" spans="1:16" x14ac:dyDescent="0.2">
      <c r="A74" t="str" cm="1">
        <f t="array" ref="A74">_xlfn.IFS(C74="it ITA", "Serie A", C74="eng ENG", "Premier League", C74="de GER", "Bundesliga", C74="es ESP", "La Liga", C74="fr FRA", "Ligue 1")</f>
        <v>Ligue 1</v>
      </c>
      <c r="B74" s="3" t="s">
        <v>94</v>
      </c>
      <c r="C74" s="2" t="s">
        <v>157</v>
      </c>
      <c r="D74" s="2">
        <v>13</v>
      </c>
      <c r="E74" s="2">
        <v>34</v>
      </c>
      <c r="F74" s="2">
        <v>9</v>
      </c>
      <c r="G74" s="2">
        <v>10</v>
      </c>
      <c r="H74" s="2">
        <v>15</v>
      </c>
      <c r="I74" s="2">
        <v>39</v>
      </c>
      <c r="J74" s="2">
        <v>43</v>
      </c>
      <c r="K74" s="2">
        <v>-4</v>
      </c>
      <c r="L74" s="2">
        <v>37</v>
      </c>
      <c r="M74" s="2">
        <v>1.0900000000000001</v>
      </c>
      <c r="N74" s="2"/>
      <c r="O74" s="2" t="s">
        <v>296</v>
      </c>
      <c r="P74" s="2" t="s">
        <v>297</v>
      </c>
    </row>
    <row r="75" spans="1:16" x14ac:dyDescent="0.2">
      <c r="A75" t="str" cm="1">
        <f t="array" ref="A75">_xlfn.IFS(C75="it ITA", "Serie A", C75="eng ENG", "Premier League", C75="de GER", "Bundesliga", C75="es ESP", "La Liga", C75="fr FRA", "Ligue 1")</f>
        <v>Serie A</v>
      </c>
      <c r="B75" s="3" t="s">
        <v>122</v>
      </c>
      <c r="C75" s="2" t="s">
        <v>147</v>
      </c>
      <c r="D75" s="2">
        <v>12</v>
      </c>
      <c r="E75" s="2">
        <v>34</v>
      </c>
      <c r="F75" s="2">
        <v>10</v>
      </c>
      <c r="G75" s="2">
        <v>7</v>
      </c>
      <c r="H75" s="2">
        <v>17</v>
      </c>
      <c r="I75" s="2">
        <v>50</v>
      </c>
      <c r="J75" s="2">
        <v>58</v>
      </c>
      <c r="K75" s="2">
        <v>-8</v>
      </c>
      <c r="L75" s="2">
        <v>37</v>
      </c>
      <c r="M75" s="2">
        <v>1.0900000000000001</v>
      </c>
      <c r="N75" s="2"/>
      <c r="O75" s="2" t="s">
        <v>298</v>
      </c>
      <c r="P75" s="2" t="s">
        <v>299</v>
      </c>
    </row>
    <row r="76" spans="1:16" x14ac:dyDescent="0.2">
      <c r="A76" t="str" cm="1">
        <f t="array" ref="A76">_xlfn.IFS(C76="it ITA", "Serie A", C76="eng ENG", "Premier League", C76="de GER", "Bundesliga", C76="es ESP", "La Liga", C76="fr FRA", "Ligue 1")</f>
        <v>Serie A</v>
      </c>
      <c r="B76" s="3" t="s">
        <v>55</v>
      </c>
      <c r="C76" s="2" t="s">
        <v>147</v>
      </c>
      <c r="D76" s="2">
        <v>13</v>
      </c>
      <c r="E76" s="2">
        <v>34</v>
      </c>
      <c r="F76" s="2">
        <v>7</v>
      </c>
      <c r="G76" s="2">
        <v>16</v>
      </c>
      <c r="H76" s="2">
        <v>11</v>
      </c>
      <c r="I76" s="2">
        <v>29</v>
      </c>
      <c r="J76" s="2">
        <v>38</v>
      </c>
      <c r="K76" s="2">
        <v>-9</v>
      </c>
      <c r="L76" s="2">
        <v>37</v>
      </c>
      <c r="M76" s="2">
        <v>1.0900000000000001</v>
      </c>
      <c r="N76" s="2"/>
      <c r="O76" s="2" t="s">
        <v>300</v>
      </c>
      <c r="P76" s="2" t="s">
        <v>301</v>
      </c>
    </row>
    <row r="77" spans="1:16" x14ac:dyDescent="0.2">
      <c r="A77" t="str" cm="1">
        <f t="array" ref="A77">_xlfn.IFS(C77="it ITA", "Serie A", C77="eng ENG", "Premier League", C77="de GER", "Bundesliga", C77="es ESP", "La Liga", C77="fr FRA", "Ligue 1")</f>
        <v>Ligue 1</v>
      </c>
      <c r="B77" s="2" t="s">
        <v>131</v>
      </c>
      <c r="C77" s="2" t="s">
        <v>157</v>
      </c>
      <c r="D77" s="2">
        <v>14</v>
      </c>
      <c r="E77" s="2">
        <v>34</v>
      </c>
      <c r="F77" s="2">
        <v>9</v>
      </c>
      <c r="G77" s="2">
        <v>9</v>
      </c>
      <c r="H77" s="2">
        <v>16</v>
      </c>
      <c r="I77" s="2">
        <v>36</v>
      </c>
      <c r="J77" s="2">
        <v>48</v>
      </c>
      <c r="K77" s="2">
        <v>-12</v>
      </c>
      <c r="L77" s="2">
        <v>36</v>
      </c>
      <c r="M77" s="2">
        <v>1.06</v>
      </c>
      <c r="N77" s="2"/>
      <c r="O77" s="2" t="s">
        <v>302</v>
      </c>
      <c r="P77" s="2" t="s">
        <v>303</v>
      </c>
    </row>
    <row r="78" spans="1:16" x14ac:dyDescent="0.2">
      <c r="A78" t="str" cm="1">
        <f t="array" ref="A78">_xlfn.IFS(C78="it ITA", "Serie A", C78="eng ENG", "Premier League", C78="de GER", "Bundesliga", C78="es ESP", "La Liga", C78="fr FRA", "Ligue 1")</f>
        <v>Bundesliga</v>
      </c>
      <c r="B78" s="2" t="s">
        <v>355</v>
      </c>
      <c r="C78" s="2" t="s">
        <v>160</v>
      </c>
      <c r="D78" s="2">
        <v>17</v>
      </c>
      <c r="E78" s="2">
        <v>34</v>
      </c>
      <c r="F78" s="2">
        <v>10</v>
      </c>
      <c r="G78" s="2">
        <v>6</v>
      </c>
      <c r="H78" s="2">
        <v>18</v>
      </c>
      <c r="I78" s="2">
        <v>49</v>
      </c>
      <c r="J78" s="2">
        <v>64</v>
      </c>
      <c r="K78" s="2">
        <v>-15</v>
      </c>
      <c r="L78" s="2">
        <v>36</v>
      </c>
      <c r="M78" s="2">
        <v>1.06</v>
      </c>
      <c r="N78" s="2"/>
      <c r="O78" s="2" t="s">
        <v>304</v>
      </c>
      <c r="P78" s="2" t="s">
        <v>305</v>
      </c>
    </row>
    <row r="79" spans="1:16" x14ac:dyDescent="0.2">
      <c r="A79" t="str" cm="1">
        <f t="array" ref="A79">_xlfn.IFS(C79="it ITA", "Serie A", C79="eng ENG", "Premier League", C79="de GER", "Bundesliga", C79="es ESP", "La Liga", C79="fr FRA", "Ligue 1")</f>
        <v>Ligue 1</v>
      </c>
      <c r="B79" s="2" t="s">
        <v>103</v>
      </c>
      <c r="C79" s="2" t="s">
        <v>157</v>
      </c>
      <c r="D79" s="2">
        <v>15</v>
      </c>
      <c r="E79" s="2">
        <v>34</v>
      </c>
      <c r="F79" s="2">
        <v>9</v>
      </c>
      <c r="G79" s="2">
        <v>9</v>
      </c>
      <c r="H79" s="2">
        <v>16</v>
      </c>
      <c r="I79" s="2">
        <v>26</v>
      </c>
      <c r="J79" s="2">
        <v>46</v>
      </c>
      <c r="K79" s="2">
        <v>-20</v>
      </c>
      <c r="L79" s="2">
        <v>36</v>
      </c>
      <c r="M79" s="2">
        <v>1.06</v>
      </c>
      <c r="N79" s="2"/>
      <c r="O79" s="2" t="s">
        <v>306</v>
      </c>
      <c r="P79" s="2" t="s">
        <v>307</v>
      </c>
    </row>
    <row r="80" spans="1:16" x14ac:dyDescent="0.2">
      <c r="A80" t="str" cm="1">
        <f t="array" ref="A80">_xlfn.IFS(C80="it ITA", "Serie A", C80="eng ENG", "Premier League", C80="de GER", "Bundesliga", C80="es ESP", "La Liga", C80="fr FRA", "Ligue 1")</f>
        <v>Serie A</v>
      </c>
      <c r="B80" s="2" t="s">
        <v>124</v>
      </c>
      <c r="C80" s="2" t="s">
        <v>147</v>
      </c>
      <c r="D80" s="2">
        <v>14</v>
      </c>
      <c r="E80" s="2">
        <v>34</v>
      </c>
      <c r="F80" s="2">
        <v>9</v>
      </c>
      <c r="G80" s="2">
        <v>9</v>
      </c>
      <c r="H80" s="2">
        <v>16</v>
      </c>
      <c r="I80" s="2">
        <v>36</v>
      </c>
      <c r="J80" s="2">
        <v>61</v>
      </c>
      <c r="K80" s="2">
        <v>-25</v>
      </c>
      <c r="L80" s="2">
        <v>36</v>
      </c>
      <c r="M80" s="2">
        <v>1.06</v>
      </c>
      <c r="N80" s="2"/>
      <c r="O80" s="2" t="s">
        <v>308</v>
      </c>
      <c r="P80" s="2" t="s">
        <v>309</v>
      </c>
    </row>
    <row r="81" spans="1:16" x14ac:dyDescent="0.2">
      <c r="A81" t="str" cm="1">
        <f t="array" ref="A81">_xlfn.IFS(C81="it ITA", "Serie A", C81="eng ENG", "Premier League", C81="de GER", "Bundesliga", C81="es ESP", "La Liga", C81="fr FRA", "Ligue 1")</f>
        <v>Premier League</v>
      </c>
      <c r="B81" s="2" t="s">
        <v>6</v>
      </c>
      <c r="C81" s="2" t="s">
        <v>150</v>
      </c>
      <c r="D81" s="2">
        <v>17</v>
      </c>
      <c r="E81" s="2">
        <v>38</v>
      </c>
      <c r="F81" s="2">
        <v>9</v>
      </c>
      <c r="G81" s="2">
        <v>13</v>
      </c>
      <c r="H81" s="2">
        <v>16</v>
      </c>
      <c r="I81" s="2">
        <v>41</v>
      </c>
      <c r="J81" s="2">
        <v>56</v>
      </c>
      <c r="K81" s="2">
        <v>-15</v>
      </c>
      <c r="L81" s="2">
        <v>40</v>
      </c>
      <c r="M81" s="2">
        <v>1.05</v>
      </c>
      <c r="N81" s="3">
        <v>35355</v>
      </c>
      <c r="O81" s="2" t="s">
        <v>310</v>
      </c>
      <c r="P81" s="2" t="s">
        <v>311</v>
      </c>
    </row>
    <row r="82" spans="1:16" x14ac:dyDescent="0.2">
      <c r="A82" t="str" cm="1">
        <f t="array" ref="A82">_xlfn.IFS(C82="it ITA", "Serie A", C82="eng ENG", "Premier League", C82="de GER", "Bundesliga", C82="es ESP", "La Liga", C82="fr FRA", "Ligue 1")</f>
        <v>La Liga</v>
      </c>
      <c r="B82" s="2" t="s">
        <v>115</v>
      </c>
      <c r="C82" s="2" t="s">
        <v>165</v>
      </c>
      <c r="D82" s="2">
        <v>18</v>
      </c>
      <c r="E82" s="2">
        <v>38</v>
      </c>
      <c r="F82" s="2">
        <v>9</v>
      </c>
      <c r="G82" s="2">
        <v>13</v>
      </c>
      <c r="H82" s="2">
        <v>16</v>
      </c>
      <c r="I82" s="2">
        <v>36</v>
      </c>
      <c r="J82" s="2">
        <v>51</v>
      </c>
      <c r="K82" s="2">
        <v>-15</v>
      </c>
      <c r="L82" s="2">
        <v>40</v>
      </c>
      <c r="M82" s="2">
        <v>1.05</v>
      </c>
      <c r="N82" s="2"/>
      <c r="O82" s="2" t="s">
        <v>312</v>
      </c>
      <c r="P82" s="2" t="s">
        <v>313</v>
      </c>
    </row>
    <row r="83" spans="1:16" x14ac:dyDescent="0.2">
      <c r="A83" t="str" cm="1">
        <f t="array" ref="A83">_xlfn.IFS(C83="it ITA", "Serie A", C83="eng ENG", "Premier League", C83="de GER", "Bundesliga", C83="es ESP", "La Liga", C83="fr FRA", "Ligue 1")</f>
        <v>Premier League</v>
      </c>
      <c r="B83" s="2" t="s">
        <v>356</v>
      </c>
      <c r="C83" s="2" t="s">
        <v>150</v>
      </c>
      <c r="D83" s="2">
        <v>18</v>
      </c>
      <c r="E83" s="2">
        <v>38</v>
      </c>
      <c r="F83" s="2">
        <v>9</v>
      </c>
      <c r="G83" s="2">
        <v>13</v>
      </c>
      <c r="H83" s="2">
        <v>16</v>
      </c>
      <c r="I83" s="2">
        <v>41</v>
      </c>
      <c r="J83" s="2">
        <v>61</v>
      </c>
      <c r="K83" s="2">
        <v>-20</v>
      </c>
      <c r="L83" s="2">
        <v>40</v>
      </c>
      <c r="M83" s="2">
        <v>1.05</v>
      </c>
      <c r="N83" s="3">
        <v>24352</v>
      </c>
      <c r="O83" s="2" t="s">
        <v>314</v>
      </c>
      <c r="P83" s="2" t="s">
        <v>315</v>
      </c>
    </row>
    <row r="84" spans="1:16" x14ac:dyDescent="0.2">
      <c r="A84" t="str" cm="1">
        <f t="array" ref="A84">_xlfn.IFS(C84="it ITA", "Serie A", C84="eng ENG", "Premier League", C84="de GER", "Bundesliga", C84="es ESP", "La Liga", C84="fr FRA", "Ligue 1")</f>
        <v>Ligue 1</v>
      </c>
      <c r="B84" s="2" t="s">
        <v>130</v>
      </c>
      <c r="C84" s="2" t="s">
        <v>157</v>
      </c>
      <c r="D84" s="2">
        <v>16</v>
      </c>
      <c r="E84" s="2">
        <v>34</v>
      </c>
      <c r="F84" s="2">
        <v>9</v>
      </c>
      <c r="G84" s="2">
        <v>8</v>
      </c>
      <c r="H84" s="2">
        <v>17</v>
      </c>
      <c r="I84" s="2">
        <v>30</v>
      </c>
      <c r="J84" s="2">
        <v>42</v>
      </c>
      <c r="K84" s="2">
        <v>-12</v>
      </c>
      <c r="L84" s="2">
        <v>35</v>
      </c>
      <c r="M84" s="2">
        <v>1.03</v>
      </c>
      <c r="N84" s="2"/>
      <c r="O84" s="2" t="s">
        <v>316</v>
      </c>
      <c r="P84" s="2" t="s">
        <v>317</v>
      </c>
    </row>
    <row r="85" spans="1:16" x14ac:dyDescent="0.2">
      <c r="A85" t="str" cm="1">
        <f t="array" ref="A85">_xlfn.IFS(C85="it ITA", "Serie A", C85="eng ENG", "Premier League", C85="de GER", "Bundesliga", C85="es ESP", "La Liga", C85="fr FRA", "Ligue 1")</f>
        <v>Serie A</v>
      </c>
      <c r="B85" s="2" t="s">
        <v>121</v>
      </c>
      <c r="C85" s="2" t="s">
        <v>147</v>
      </c>
      <c r="D85" s="2">
        <v>15</v>
      </c>
      <c r="E85" s="2">
        <v>34</v>
      </c>
      <c r="F85" s="2">
        <v>9</v>
      </c>
      <c r="G85" s="2">
        <v>8</v>
      </c>
      <c r="H85" s="2">
        <v>17</v>
      </c>
      <c r="I85" s="2">
        <v>45</v>
      </c>
      <c r="J85" s="2">
        <v>63</v>
      </c>
      <c r="K85" s="2">
        <v>-18</v>
      </c>
      <c r="L85" s="2">
        <v>35</v>
      </c>
      <c r="M85" s="2">
        <v>1.03</v>
      </c>
      <c r="N85" s="2"/>
      <c r="O85" s="2" t="s">
        <v>318</v>
      </c>
      <c r="P85" s="2" t="s">
        <v>319</v>
      </c>
    </row>
    <row r="86" spans="1:16" x14ac:dyDescent="0.2">
      <c r="A86" t="str" cm="1">
        <f t="array" ref="A86">_xlfn.IFS(C86="it ITA", "Serie A", C86="eng ENG", "Premier League", C86="de GER", "Bundesliga", C86="es ESP", "La Liga", C86="fr FRA", "Ligue 1")</f>
        <v>La Liga</v>
      </c>
      <c r="B86" s="2" t="s">
        <v>113</v>
      </c>
      <c r="C86" s="2" t="s">
        <v>165</v>
      </c>
      <c r="D86" s="2">
        <v>19</v>
      </c>
      <c r="E86" s="2">
        <v>38</v>
      </c>
      <c r="F86" s="2">
        <v>9</v>
      </c>
      <c r="G86" s="2">
        <v>12</v>
      </c>
      <c r="H86" s="2">
        <v>17</v>
      </c>
      <c r="I86" s="2">
        <v>33</v>
      </c>
      <c r="J86" s="2">
        <v>53</v>
      </c>
      <c r="K86" s="2">
        <v>-20</v>
      </c>
      <c r="L86" s="2">
        <v>39</v>
      </c>
      <c r="M86" s="2">
        <v>1.03</v>
      </c>
      <c r="N86" s="2"/>
      <c r="O86" s="2" t="s">
        <v>320</v>
      </c>
      <c r="P86" s="2" t="s">
        <v>321</v>
      </c>
    </row>
    <row r="87" spans="1:16" x14ac:dyDescent="0.2">
      <c r="A87" t="str" cm="1">
        <f t="array" ref="A87">_xlfn.IFS(C87="it ITA", "Serie A", C87="eng ENG", "Premier League", C87="de GER", "Bundesliga", C87="es ESP", "La Liga", C87="fr FRA", "Ligue 1")</f>
        <v>Bundesliga</v>
      </c>
      <c r="B87" s="2" t="s">
        <v>357</v>
      </c>
      <c r="C87" s="2" t="s">
        <v>160</v>
      </c>
      <c r="D87" s="2">
        <v>18</v>
      </c>
      <c r="E87" s="2">
        <v>34</v>
      </c>
      <c r="F87" s="2">
        <v>8</v>
      </c>
      <c r="G87" s="2">
        <v>8</v>
      </c>
      <c r="H87" s="2">
        <v>18</v>
      </c>
      <c r="I87" s="2">
        <v>43</v>
      </c>
      <c r="J87" s="2">
        <v>56</v>
      </c>
      <c r="K87" s="2">
        <v>-13</v>
      </c>
      <c r="L87" s="2">
        <v>32</v>
      </c>
      <c r="M87" s="2">
        <v>0.94</v>
      </c>
      <c r="N87" s="2"/>
      <c r="O87" s="2" t="s">
        <v>322</v>
      </c>
      <c r="P87" s="2" t="s">
        <v>323</v>
      </c>
    </row>
    <row r="88" spans="1:16" x14ac:dyDescent="0.2">
      <c r="A88" t="str" cm="1">
        <f t="array" ref="A88">_xlfn.IFS(C88="it ITA", "Serie A", C88="eng ENG", "Premier League", C88="de GER", "Bundesliga", C88="es ESP", "La Liga", C88="fr FRA", "Ligue 1")</f>
        <v>Serie A</v>
      </c>
      <c r="B88" s="2" t="s">
        <v>43</v>
      </c>
      <c r="C88" s="2" t="s">
        <v>147</v>
      </c>
      <c r="D88" s="2">
        <v>16</v>
      </c>
      <c r="E88" s="2">
        <v>34</v>
      </c>
      <c r="F88" s="2">
        <v>7</v>
      </c>
      <c r="G88" s="2">
        <v>11</v>
      </c>
      <c r="H88" s="2">
        <v>16</v>
      </c>
      <c r="I88" s="2">
        <v>25</v>
      </c>
      <c r="J88" s="2">
        <v>48</v>
      </c>
      <c r="K88" s="2">
        <v>-23</v>
      </c>
      <c r="L88" s="2">
        <v>32</v>
      </c>
      <c r="M88" s="2">
        <v>0.94</v>
      </c>
      <c r="N88" s="2"/>
      <c r="O88" s="2" t="s">
        <v>324</v>
      </c>
      <c r="P88" s="2" t="s">
        <v>325</v>
      </c>
    </row>
    <row r="89" spans="1:16" x14ac:dyDescent="0.2">
      <c r="A89" t="str" cm="1">
        <f t="array" ref="A89">_xlfn.IFS(C89="it ITA", "Serie A", C89="eng ENG", "Premier League", C89="de GER", "Bundesliga", C89="es ESP", "La Liga", C89="fr FRA", "Ligue 1")</f>
        <v>Premier League</v>
      </c>
      <c r="B89" s="2" t="s">
        <v>105</v>
      </c>
      <c r="C89" s="2" t="s">
        <v>150</v>
      </c>
      <c r="D89" s="2">
        <v>19</v>
      </c>
      <c r="E89" s="2">
        <v>38</v>
      </c>
      <c r="F89" s="2">
        <v>10</v>
      </c>
      <c r="G89" s="2">
        <v>5</v>
      </c>
      <c r="H89" s="2">
        <v>23</v>
      </c>
      <c r="I89" s="2">
        <v>37</v>
      </c>
      <c r="J89" s="2">
        <v>82</v>
      </c>
      <c r="K89" s="2">
        <v>-45</v>
      </c>
      <c r="L89" s="2">
        <v>35</v>
      </c>
      <c r="M89" s="2">
        <v>0.92</v>
      </c>
      <c r="N89" s="3">
        <v>18443</v>
      </c>
      <c r="O89" s="2" t="s">
        <v>326</v>
      </c>
      <c r="P89" s="2" t="s">
        <v>327</v>
      </c>
    </row>
    <row r="90" spans="1:16" x14ac:dyDescent="0.2">
      <c r="A90" t="str" cm="1">
        <f t="array" ref="A90">_xlfn.IFS(C90="it ITA", "Serie A", C90="eng ENG", "Premier League", C90="de GER", "Bundesliga", C90="es ESP", "La Liga", C90="fr FRA", "Ligue 1")</f>
        <v>Ligue 1</v>
      </c>
      <c r="B90" s="2" t="s">
        <v>129</v>
      </c>
      <c r="C90" s="2" t="s">
        <v>157</v>
      </c>
      <c r="D90" s="2">
        <v>17</v>
      </c>
      <c r="E90" s="2">
        <v>34</v>
      </c>
      <c r="F90" s="2">
        <v>8</v>
      </c>
      <c r="G90" s="2">
        <v>7</v>
      </c>
      <c r="H90" s="2">
        <v>19</v>
      </c>
      <c r="I90" s="2">
        <v>31</v>
      </c>
      <c r="J90" s="2">
        <v>59</v>
      </c>
      <c r="K90" s="2">
        <v>-28</v>
      </c>
      <c r="L90" s="2">
        <v>31</v>
      </c>
      <c r="M90" s="2">
        <v>0.91</v>
      </c>
      <c r="N90" s="2"/>
      <c r="O90" s="2" t="s">
        <v>328</v>
      </c>
      <c r="P90" s="2" t="s">
        <v>329</v>
      </c>
    </row>
    <row r="91" spans="1:16" x14ac:dyDescent="0.2">
      <c r="A91" t="str" cm="1">
        <f t="array" ref="A91">_xlfn.IFS(C91="it ITA", "Serie A", C91="eng ENG", "Premier League", C91="de GER", "Bundesliga", C91="es ESP", "La Liga", C91="fr FRA", "Ligue 1")</f>
        <v>Premier League</v>
      </c>
      <c r="B91" s="2" t="s">
        <v>106</v>
      </c>
      <c r="C91" s="2" t="s">
        <v>150</v>
      </c>
      <c r="D91" s="2">
        <v>20</v>
      </c>
      <c r="E91" s="2">
        <v>38</v>
      </c>
      <c r="F91" s="2">
        <v>8</v>
      </c>
      <c r="G91" s="2">
        <v>9</v>
      </c>
      <c r="H91" s="2">
        <v>21</v>
      </c>
      <c r="I91" s="2">
        <v>37</v>
      </c>
      <c r="J91" s="2">
        <v>71</v>
      </c>
      <c r="K91" s="2">
        <v>-34</v>
      </c>
      <c r="L91" s="2">
        <v>33</v>
      </c>
      <c r="M91" s="2">
        <v>0.87</v>
      </c>
      <c r="N91" s="3">
        <v>21983</v>
      </c>
      <c r="O91" s="2" t="s">
        <v>330</v>
      </c>
      <c r="P91" s="2" t="s">
        <v>331</v>
      </c>
    </row>
    <row r="92" spans="1:16" x14ac:dyDescent="0.2">
      <c r="A92" t="str" cm="1">
        <f t="array" ref="A92">_xlfn.IFS(C92="it ITA", "Serie A", C92="eng ENG", "Premier League", C92="de GER", "Bundesliga", C92="es ESP", "La Liga", C92="fr FRA", "Ligue 1")</f>
        <v>Ligue 1</v>
      </c>
      <c r="B92" s="2" t="s">
        <v>87</v>
      </c>
      <c r="C92" s="2" t="s">
        <v>157</v>
      </c>
      <c r="D92" s="2">
        <v>18</v>
      </c>
      <c r="E92" s="2">
        <v>34</v>
      </c>
      <c r="F92" s="2">
        <v>7</v>
      </c>
      <c r="G92" s="2">
        <v>7</v>
      </c>
      <c r="H92" s="2">
        <v>20</v>
      </c>
      <c r="I92" s="2">
        <v>32</v>
      </c>
      <c r="J92" s="2">
        <v>59</v>
      </c>
      <c r="K92" s="2">
        <v>-27</v>
      </c>
      <c r="L92" s="2">
        <v>28</v>
      </c>
      <c r="M92" s="2">
        <v>0.82</v>
      </c>
      <c r="N92" s="2"/>
      <c r="O92" s="2" t="s">
        <v>332</v>
      </c>
      <c r="P92" s="2" t="s">
        <v>333</v>
      </c>
    </row>
    <row r="93" spans="1:16" x14ac:dyDescent="0.2">
      <c r="A93" t="str" cm="1">
        <f t="array" ref="A93">_xlfn.IFS(C93="it ITA", "Serie A", C93="eng ENG", "Premier League", C93="de GER", "Bundesliga", C93="es ESP", "La Liga", C93="fr FRA", "Ligue 1")</f>
        <v>Serie A</v>
      </c>
      <c r="B93" s="2" t="s">
        <v>51</v>
      </c>
      <c r="C93" s="2" t="s">
        <v>147</v>
      </c>
      <c r="D93" s="2">
        <v>17</v>
      </c>
      <c r="E93" s="2">
        <v>34</v>
      </c>
      <c r="F93" s="2">
        <v>6</v>
      </c>
      <c r="G93" s="2">
        <v>8</v>
      </c>
      <c r="H93" s="2">
        <v>20</v>
      </c>
      <c r="I93" s="2">
        <v>32</v>
      </c>
      <c r="J93" s="2">
        <v>72</v>
      </c>
      <c r="K93" s="2">
        <v>-40</v>
      </c>
      <c r="L93" s="2">
        <v>26</v>
      </c>
      <c r="M93" s="2">
        <v>0.76</v>
      </c>
      <c r="N93" s="2"/>
      <c r="O93" s="2" t="s">
        <v>334</v>
      </c>
      <c r="P93" s="2" t="s">
        <v>335</v>
      </c>
    </row>
    <row r="94" spans="1:16" x14ac:dyDescent="0.2">
      <c r="A94" t="str" cm="1">
        <f t="array" ref="A94">_xlfn.IFS(C94="it ITA", "Serie A", C94="eng ENG", "Premier League", C94="de GER", "Bundesliga", C94="es ESP", "La Liga", C94="fr FRA", "Ligue 1")</f>
        <v>Serie A</v>
      </c>
      <c r="B94" s="2" t="s">
        <v>53</v>
      </c>
      <c r="C94" s="2" t="s">
        <v>147</v>
      </c>
      <c r="D94" s="2">
        <v>18</v>
      </c>
      <c r="E94" s="2">
        <v>34</v>
      </c>
      <c r="F94" s="2">
        <v>2</v>
      </c>
      <c r="G94" s="2">
        <v>8</v>
      </c>
      <c r="H94" s="2">
        <v>24</v>
      </c>
      <c r="I94" s="2">
        <v>25</v>
      </c>
      <c r="J94" s="2">
        <v>76</v>
      </c>
      <c r="K94" s="2">
        <v>-51</v>
      </c>
      <c r="L94" s="2">
        <v>14</v>
      </c>
      <c r="M94" s="2">
        <v>0.41</v>
      </c>
      <c r="N94" s="2"/>
      <c r="O94" s="2" t="s">
        <v>336</v>
      </c>
      <c r="P94" s="2" t="s">
        <v>337</v>
      </c>
    </row>
    <row r="95" spans="1:16" x14ac:dyDescent="0.2">
      <c r="A95" t="str" cm="1">
        <f t="array" ref="A95">_xlfn.IFS(C95="it ITA", "Serie A", C95="eng ENG", "Premier League", C95="de GER", "Bundesliga", C95="es ESP", "La Liga", C95="fr FRA", "Ligue 1")</f>
        <v>La Liga</v>
      </c>
      <c r="B95" s="2" t="s">
        <v>117</v>
      </c>
      <c r="C95" s="2" t="s">
        <v>165</v>
      </c>
      <c r="D95" s="2">
        <v>20</v>
      </c>
      <c r="E95" s="2">
        <v>38</v>
      </c>
      <c r="F95" s="2">
        <v>2</v>
      </c>
      <c r="G95" s="2">
        <v>7</v>
      </c>
      <c r="H95" s="2">
        <v>29</v>
      </c>
      <c r="I95" s="2">
        <v>31</v>
      </c>
      <c r="J95" s="2">
        <v>80</v>
      </c>
      <c r="K95" s="2">
        <v>-49</v>
      </c>
      <c r="L95" s="2">
        <v>13</v>
      </c>
      <c r="M95" s="2">
        <v>0.34</v>
      </c>
      <c r="N95" s="2"/>
      <c r="O95" s="2" t="s">
        <v>338</v>
      </c>
      <c r="P95" s="2" t="s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FA1D-0188-574B-A4B2-880F75BF00A0}">
  <dimension ref="A1:P95"/>
  <sheetViews>
    <sheetView workbookViewId="0">
      <selection activeCell="A2" sqref="A2:A95"/>
    </sheetView>
  </sheetViews>
  <sheetFormatPr baseColWidth="10" defaultRowHeight="16" x14ac:dyDescent="0.2"/>
  <sheetData>
    <row r="1" spans="1:16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">
      <c r="A2" t="str" cm="1">
        <f t="array" ref="A2">_xlfn.IFS(C2="it ITA", "Serie A", C2="eng ENG", "Premier League", C2="de GER", "Bundesliga", C2="es ESP", "La Liga", C2="fr FRA", "Ligue 1")</f>
        <v>Premier League</v>
      </c>
      <c r="B2" t="s">
        <v>0</v>
      </c>
      <c r="C2" t="s">
        <v>150</v>
      </c>
      <c r="D2">
        <v>1</v>
      </c>
      <c r="E2">
        <v>38</v>
      </c>
      <c r="F2">
        <v>26</v>
      </c>
      <c r="G2">
        <v>9</v>
      </c>
      <c r="H2">
        <v>3</v>
      </c>
      <c r="I2">
        <v>79</v>
      </c>
      <c r="J2">
        <v>36</v>
      </c>
      <c r="K2">
        <v>43</v>
      </c>
      <c r="L2">
        <v>87</v>
      </c>
      <c r="M2">
        <v>2.29</v>
      </c>
      <c r="N2" s="1">
        <v>38055</v>
      </c>
      <c r="O2" t="s">
        <v>358</v>
      </c>
      <c r="P2" t="s">
        <v>152</v>
      </c>
    </row>
    <row r="3" spans="1:16" x14ac:dyDescent="0.2">
      <c r="A3" t="str" cm="1">
        <f t="array" ref="A3">_xlfn.IFS(C3="it ITA", "Serie A", C3="eng ENG", "Premier League", C3="de GER", "Bundesliga", C3="es ESP", "La Liga", C3="fr FRA", "Ligue 1")</f>
        <v>Premier League</v>
      </c>
      <c r="B3" t="s">
        <v>9</v>
      </c>
      <c r="C3" t="s">
        <v>150</v>
      </c>
      <c r="D3">
        <v>2</v>
      </c>
      <c r="E3">
        <v>38</v>
      </c>
      <c r="F3">
        <v>24</v>
      </c>
      <c r="G3">
        <v>8</v>
      </c>
      <c r="H3">
        <v>6</v>
      </c>
      <c r="I3">
        <v>67</v>
      </c>
      <c r="J3">
        <v>30</v>
      </c>
      <c r="K3">
        <v>37</v>
      </c>
      <c r="L3">
        <v>80</v>
      </c>
      <c r="M3">
        <v>2.11</v>
      </c>
      <c r="N3" s="1">
        <v>43389</v>
      </c>
      <c r="O3" t="s">
        <v>359</v>
      </c>
      <c r="P3" t="s">
        <v>360</v>
      </c>
    </row>
    <row r="4" spans="1:16" x14ac:dyDescent="0.2">
      <c r="A4" t="str" cm="1">
        <f t="array" ref="A4">_xlfn.IFS(C4="it ITA", "Serie A", C4="eng ENG", "Premier League", C4="de GER", "Bundesliga", C4="es ESP", "La Liga", C4="fr FRA", "Ligue 1")</f>
        <v>Serie A</v>
      </c>
      <c r="B4" t="s">
        <v>49</v>
      </c>
      <c r="C4" t="s">
        <v>147</v>
      </c>
      <c r="D4">
        <v>1</v>
      </c>
      <c r="E4">
        <v>34</v>
      </c>
      <c r="F4">
        <v>20</v>
      </c>
      <c r="G4">
        <v>11</v>
      </c>
      <c r="H4">
        <v>3</v>
      </c>
      <c r="I4">
        <v>64</v>
      </c>
      <c r="J4">
        <v>23</v>
      </c>
      <c r="K4">
        <v>41</v>
      </c>
      <c r="L4">
        <v>71</v>
      </c>
      <c r="M4">
        <v>2.09</v>
      </c>
      <c r="O4" t="s">
        <v>361</v>
      </c>
      <c r="P4" t="s">
        <v>185</v>
      </c>
    </row>
    <row r="5" spans="1:16" x14ac:dyDescent="0.2">
      <c r="A5" t="str" cm="1">
        <f t="array" ref="A5">_xlfn.IFS(C5="it ITA", "Serie A", C5="eng ENG", "Premier League", C5="de GER", "Bundesliga", C5="es ESP", "La Liga", C5="fr FRA", "Ligue 1")</f>
        <v>Serie A</v>
      </c>
      <c r="B5" t="s">
        <v>57</v>
      </c>
      <c r="C5" t="s">
        <v>147</v>
      </c>
      <c r="D5">
        <v>2</v>
      </c>
      <c r="E5">
        <v>34</v>
      </c>
      <c r="F5">
        <v>19</v>
      </c>
      <c r="G5">
        <v>13</v>
      </c>
      <c r="H5">
        <v>2</v>
      </c>
      <c r="I5">
        <v>58</v>
      </c>
      <c r="J5">
        <v>24</v>
      </c>
      <c r="K5">
        <v>34</v>
      </c>
      <c r="L5">
        <v>70</v>
      </c>
      <c r="M5">
        <v>2.06</v>
      </c>
      <c r="O5" t="s">
        <v>362</v>
      </c>
      <c r="P5" t="s">
        <v>363</v>
      </c>
    </row>
    <row r="6" spans="1:16" x14ac:dyDescent="0.2">
      <c r="A6" t="str" cm="1">
        <f t="array" ref="A6">_xlfn.IFS(C6="it ITA", "Serie A", C6="eng ENG", "Premier League", C6="de GER", "Bundesliga", C6="es ESP", "La Liga", C6="fr FRA", "Ligue 1")</f>
        <v>Bundesliga</v>
      </c>
      <c r="B6" t="s">
        <v>65</v>
      </c>
      <c r="C6" t="s">
        <v>160</v>
      </c>
      <c r="D6">
        <v>1</v>
      </c>
      <c r="E6">
        <v>34</v>
      </c>
      <c r="F6">
        <v>21</v>
      </c>
      <c r="G6">
        <v>7</v>
      </c>
      <c r="H6">
        <v>6</v>
      </c>
      <c r="I6">
        <v>62</v>
      </c>
      <c r="J6">
        <v>33</v>
      </c>
      <c r="K6">
        <v>29</v>
      </c>
      <c r="L6">
        <v>70</v>
      </c>
      <c r="M6">
        <v>2.06</v>
      </c>
      <c r="O6" t="s">
        <v>364</v>
      </c>
      <c r="P6" t="s">
        <v>213</v>
      </c>
    </row>
    <row r="7" spans="1:16" x14ac:dyDescent="0.2">
      <c r="A7" t="str" cm="1">
        <f t="array" ref="A7">_xlfn.IFS(C7="it ITA", "Serie A", C7="eng ENG", "Premier League", C7="de GER", "Bundesliga", C7="es ESP", "La Liga", C7="fr FRA", "Ligue 1")</f>
        <v>Premier League</v>
      </c>
      <c r="B7" t="s">
        <v>340</v>
      </c>
      <c r="C7" t="s">
        <v>150</v>
      </c>
      <c r="D7">
        <v>3</v>
      </c>
      <c r="E7">
        <v>38</v>
      </c>
      <c r="F7">
        <v>24</v>
      </c>
      <c r="G7">
        <v>5</v>
      </c>
      <c r="H7">
        <v>9</v>
      </c>
      <c r="I7">
        <v>87</v>
      </c>
      <c r="J7">
        <v>45</v>
      </c>
      <c r="K7">
        <v>42</v>
      </c>
      <c r="L7">
        <v>77</v>
      </c>
      <c r="M7">
        <v>2.0299999999999998</v>
      </c>
      <c r="N7" s="1">
        <v>67558</v>
      </c>
      <c r="O7" t="s">
        <v>365</v>
      </c>
      <c r="P7" t="s">
        <v>175</v>
      </c>
    </row>
    <row r="8" spans="1:16" x14ac:dyDescent="0.2">
      <c r="A8" t="str" cm="1">
        <f t="array" ref="A8">_xlfn.IFS(C8="it ITA", "Serie A", C8="eng ENG", "Premier League", C8="de GER", "Bundesliga", C8="es ESP", "La Liga", C8="fr FRA", "Ligue 1")</f>
        <v>Bundesliga</v>
      </c>
      <c r="B8" t="s">
        <v>62</v>
      </c>
      <c r="C8" t="s">
        <v>160</v>
      </c>
      <c r="D8">
        <v>2</v>
      </c>
      <c r="E8">
        <v>34</v>
      </c>
      <c r="F8">
        <v>21</v>
      </c>
      <c r="G8">
        <v>6</v>
      </c>
      <c r="H8">
        <v>7</v>
      </c>
      <c r="I8">
        <v>77</v>
      </c>
      <c r="J8">
        <v>38</v>
      </c>
      <c r="K8">
        <v>39</v>
      </c>
      <c r="L8">
        <v>69</v>
      </c>
      <c r="M8">
        <v>2.0299999999999998</v>
      </c>
      <c r="O8" t="s">
        <v>366</v>
      </c>
      <c r="P8" t="s">
        <v>255</v>
      </c>
    </row>
    <row r="9" spans="1:16" x14ac:dyDescent="0.2">
      <c r="A9" t="str" cm="1">
        <f t="array" ref="A9">_xlfn.IFS(C9="it ITA", "Serie A", C9="eng ENG", "Premier League", C9="de GER", "Bundesliga", C9="es ESP", "La Liga", C9="fr FRA", "Ligue 1")</f>
        <v>Serie A</v>
      </c>
      <c r="B9" t="s">
        <v>341</v>
      </c>
      <c r="C9" t="s">
        <v>147</v>
      </c>
      <c r="D9">
        <v>3</v>
      </c>
      <c r="E9">
        <v>34</v>
      </c>
      <c r="F9">
        <v>20</v>
      </c>
      <c r="G9">
        <v>9</v>
      </c>
      <c r="H9">
        <v>5</v>
      </c>
      <c r="I9">
        <v>62</v>
      </c>
      <c r="J9">
        <v>35</v>
      </c>
      <c r="K9">
        <v>27</v>
      </c>
      <c r="L9">
        <v>69</v>
      </c>
      <c r="M9">
        <v>2.0299999999999998</v>
      </c>
      <c r="O9" t="s">
        <v>367</v>
      </c>
      <c r="P9" t="s">
        <v>181</v>
      </c>
    </row>
    <row r="10" spans="1:16" x14ac:dyDescent="0.2">
      <c r="A10" t="str" cm="1">
        <f t="array" ref="A10">_xlfn.IFS(C10="it ITA", "Serie A", C10="eng ENG", "Premier League", C10="de GER", "Bundesliga", C10="es ESP", "La Liga", C10="fr FRA", "Ligue 1")</f>
        <v>Bundesliga</v>
      </c>
      <c r="B10" t="s">
        <v>63</v>
      </c>
      <c r="C10" t="s">
        <v>160</v>
      </c>
      <c r="D10">
        <v>3</v>
      </c>
      <c r="E10">
        <v>34</v>
      </c>
      <c r="F10">
        <v>20</v>
      </c>
      <c r="G10">
        <v>8</v>
      </c>
      <c r="H10">
        <v>6</v>
      </c>
      <c r="I10">
        <v>65</v>
      </c>
      <c r="J10">
        <v>25</v>
      </c>
      <c r="K10">
        <v>40</v>
      </c>
      <c r="L10">
        <v>68</v>
      </c>
      <c r="M10">
        <v>2</v>
      </c>
      <c r="O10" t="s">
        <v>368</v>
      </c>
      <c r="P10" t="s">
        <v>169</v>
      </c>
    </row>
    <row r="11" spans="1:16" x14ac:dyDescent="0.2">
      <c r="A11" t="str" cm="1">
        <f t="array" ref="A11">_xlfn.IFS(C11="it ITA", "Serie A", C11="eng ENG", "Premier League", C11="de GER", "Bundesliga", C11="es ESP", "La Liga", C11="fr FRA", "Ligue 1")</f>
        <v>La Liga</v>
      </c>
      <c r="B11" t="s">
        <v>26</v>
      </c>
      <c r="C11" t="s">
        <v>165</v>
      </c>
      <c r="D11">
        <v>1</v>
      </c>
      <c r="E11">
        <v>38</v>
      </c>
      <c r="F11">
        <v>21</v>
      </c>
      <c r="G11">
        <v>12</v>
      </c>
      <c r="H11">
        <v>5</v>
      </c>
      <c r="I11">
        <v>51</v>
      </c>
      <c r="J11">
        <v>27</v>
      </c>
      <c r="K11">
        <v>24</v>
      </c>
      <c r="L11">
        <v>75</v>
      </c>
      <c r="M11">
        <v>1.97</v>
      </c>
      <c r="O11" t="s">
        <v>369</v>
      </c>
      <c r="P11" t="s">
        <v>191</v>
      </c>
    </row>
    <row r="12" spans="1:16" x14ac:dyDescent="0.2">
      <c r="A12" t="str" cm="1">
        <f t="array" ref="A12">_xlfn.IFS(C12="it ITA", "Serie A", C12="eng ENG", "Premier League", C12="de GER", "Bundesliga", C12="es ESP", "La Liga", C12="fr FRA", "Ligue 1")</f>
        <v>Ligue 1</v>
      </c>
      <c r="B12" t="s">
        <v>89</v>
      </c>
      <c r="C12" t="s">
        <v>157</v>
      </c>
      <c r="D12">
        <v>1</v>
      </c>
      <c r="E12">
        <v>34</v>
      </c>
      <c r="F12">
        <v>20</v>
      </c>
      <c r="G12">
        <v>6</v>
      </c>
      <c r="H12">
        <v>8</v>
      </c>
      <c r="I12">
        <v>62</v>
      </c>
      <c r="J12">
        <v>32</v>
      </c>
      <c r="K12">
        <v>30</v>
      </c>
      <c r="L12">
        <v>66</v>
      </c>
      <c r="M12">
        <v>1.94</v>
      </c>
      <c r="O12" t="s">
        <v>370</v>
      </c>
      <c r="P12" t="s">
        <v>205</v>
      </c>
    </row>
    <row r="13" spans="1:16" x14ac:dyDescent="0.2">
      <c r="A13" t="str" cm="1">
        <f t="array" ref="A13">_xlfn.IFS(C13="it ITA", "Serie A", C13="eng ENG", "Premier League", C13="de GER", "Bundesliga", C13="es ESP", "La Liga", C13="fr FRA", "Ligue 1")</f>
        <v>Ligue 1</v>
      </c>
      <c r="B13" t="s">
        <v>91</v>
      </c>
      <c r="C13" t="s">
        <v>157</v>
      </c>
      <c r="D13">
        <v>2</v>
      </c>
      <c r="E13">
        <v>34</v>
      </c>
      <c r="F13">
        <v>18</v>
      </c>
      <c r="G13">
        <v>10</v>
      </c>
      <c r="H13">
        <v>6</v>
      </c>
      <c r="I13">
        <v>55</v>
      </c>
      <c r="J13">
        <v>30</v>
      </c>
      <c r="K13">
        <v>25</v>
      </c>
      <c r="L13">
        <v>64</v>
      </c>
      <c r="M13">
        <v>1.88</v>
      </c>
      <c r="O13" t="s">
        <v>371</v>
      </c>
      <c r="P13" t="s">
        <v>159</v>
      </c>
    </row>
    <row r="14" spans="1:16" x14ac:dyDescent="0.2">
      <c r="A14" t="str" cm="1">
        <f t="array" ref="A14">_xlfn.IFS(C14="it ITA", "Serie A", C14="eng ENG", "Premier League", C14="de GER", "Bundesliga", C14="es ESP", "La Liga", C14="fr FRA", "Ligue 1")</f>
        <v>Premier League</v>
      </c>
      <c r="B14" t="s">
        <v>349</v>
      </c>
      <c r="C14" t="s">
        <v>150</v>
      </c>
      <c r="D14">
        <v>4</v>
      </c>
      <c r="E14">
        <v>38</v>
      </c>
      <c r="F14">
        <v>21</v>
      </c>
      <c r="G14">
        <v>8</v>
      </c>
      <c r="H14">
        <v>9</v>
      </c>
      <c r="I14">
        <v>74</v>
      </c>
      <c r="J14">
        <v>52</v>
      </c>
      <c r="K14">
        <v>22</v>
      </c>
      <c r="L14">
        <v>71</v>
      </c>
      <c r="M14">
        <v>1.87</v>
      </c>
      <c r="N14" s="1">
        <v>51373</v>
      </c>
      <c r="O14" t="s">
        <v>372</v>
      </c>
      <c r="P14" t="s">
        <v>279</v>
      </c>
    </row>
    <row r="15" spans="1:16" x14ac:dyDescent="0.2">
      <c r="A15" t="str" cm="1">
        <f t="array" ref="A15">_xlfn.IFS(C15="it ITA", "Serie A", C15="eng ENG", "Premier League", C15="de GER", "Bundesliga", C15="es ESP", "La Liga", C15="fr FRA", "Ligue 1")</f>
        <v>La Liga</v>
      </c>
      <c r="B15" t="s">
        <v>509</v>
      </c>
      <c r="C15" t="s">
        <v>165</v>
      </c>
      <c r="D15">
        <v>2</v>
      </c>
      <c r="E15">
        <v>38</v>
      </c>
      <c r="F15">
        <v>20</v>
      </c>
      <c r="G15">
        <v>8</v>
      </c>
      <c r="H15">
        <v>10</v>
      </c>
      <c r="I15">
        <v>65</v>
      </c>
      <c r="J15">
        <v>41</v>
      </c>
      <c r="K15">
        <v>24</v>
      </c>
      <c r="L15">
        <v>68</v>
      </c>
      <c r="M15">
        <v>1.79</v>
      </c>
      <c r="O15" t="s">
        <v>373</v>
      </c>
      <c r="P15" t="s">
        <v>199</v>
      </c>
    </row>
    <row r="16" spans="1:16" x14ac:dyDescent="0.2">
      <c r="A16" t="str" cm="1">
        <f t="array" ref="A16">_xlfn.IFS(C16="it ITA", "Serie A", C16="eng ENG", "Premier League", C16="de GER", "Bundesliga", C16="es ESP", "La Liga", C16="fr FRA", "Ligue 1")</f>
        <v>Bundesliga</v>
      </c>
      <c r="B16" t="s">
        <v>126</v>
      </c>
      <c r="C16" t="s">
        <v>160</v>
      </c>
      <c r="D16">
        <v>4</v>
      </c>
      <c r="E16">
        <v>34</v>
      </c>
      <c r="F16">
        <v>18</v>
      </c>
      <c r="G16">
        <v>7</v>
      </c>
      <c r="H16">
        <v>9</v>
      </c>
      <c r="I16">
        <v>61</v>
      </c>
      <c r="J16">
        <v>38</v>
      </c>
      <c r="K16">
        <v>23</v>
      </c>
      <c r="L16">
        <v>61</v>
      </c>
      <c r="M16">
        <v>1.79</v>
      </c>
      <c r="O16" t="s">
        <v>374</v>
      </c>
      <c r="P16" t="s">
        <v>263</v>
      </c>
    </row>
    <row r="17" spans="1:16" x14ac:dyDescent="0.2">
      <c r="A17" t="str" cm="1">
        <f t="array" ref="A17">_xlfn.IFS(C17="it ITA", "Serie A", C17="eng ENG", "Premier League", C17="de GER", "Bundesliga", C17="es ESP", "La Liga", C17="fr FRA", "Ligue 1")</f>
        <v>Bundesliga</v>
      </c>
      <c r="B17" t="s">
        <v>125</v>
      </c>
      <c r="C17" t="s">
        <v>160</v>
      </c>
      <c r="D17">
        <v>5</v>
      </c>
      <c r="E17">
        <v>34</v>
      </c>
      <c r="F17">
        <v>18</v>
      </c>
      <c r="G17">
        <v>7</v>
      </c>
      <c r="H17">
        <v>9</v>
      </c>
      <c r="I17">
        <v>52</v>
      </c>
      <c r="J17">
        <v>36</v>
      </c>
      <c r="K17">
        <v>16</v>
      </c>
      <c r="L17">
        <v>61</v>
      </c>
      <c r="M17">
        <v>1.79</v>
      </c>
      <c r="O17" t="s">
        <v>375</v>
      </c>
      <c r="P17" t="s">
        <v>229</v>
      </c>
    </row>
    <row r="18" spans="1:16" x14ac:dyDescent="0.2">
      <c r="A18" t="str" cm="1">
        <f t="array" ref="A18">_xlfn.IFS(C18="it ITA", "Serie A", C18="eng ENG", "Premier League", C18="de GER", "Bundesliga", C18="es ESP", "La Liga", C18="fr FRA", "Ligue 1")</f>
        <v>La Liga</v>
      </c>
      <c r="B18" t="s">
        <v>24</v>
      </c>
      <c r="C18" t="s">
        <v>165</v>
      </c>
      <c r="D18">
        <v>3</v>
      </c>
      <c r="E18">
        <v>38</v>
      </c>
      <c r="F18">
        <v>19</v>
      </c>
      <c r="G18">
        <v>9</v>
      </c>
      <c r="H18">
        <v>10</v>
      </c>
      <c r="I18">
        <v>69</v>
      </c>
      <c r="J18">
        <v>44</v>
      </c>
      <c r="K18">
        <v>25</v>
      </c>
      <c r="L18">
        <v>66</v>
      </c>
      <c r="M18">
        <v>1.74</v>
      </c>
      <c r="O18" t="s">
        <v>376</v>
      </c>
      <c r="P18" t="s">
        <v>377</v>
      </c>
    </row>
    <row r="19" spans="1:16" x14ac:dyDescent="0.2">
      <c r="A19" t="str" cm="1">
        <f t="array" ref="A19">_xlfn.IFS(C19="it ITA", "Serie A", C19="eng ENG", "Premier League", C19="de GER", "Bundesliga", C19="es ESP", "La Liga", C19="fr FRA", "Ligue 1")</f>
        <v>Premier League</v>
      </c>
      <c r="B19" t="s">
        <v>8</v>
      </c>
      <c r="C19" t="s">
        <v>150</v>
      </c>
      <c r="D19">
        <v>5</v>
      </c>
      <c r="E19">
        <v>38</v>
      </c>
      <c r="F19">
        <v>18</v>
      </c>
      <c r="G19">
        <v>12</v>
      </c>
      <c r="H19">
        <v>8</v>
      </c>
      <c r="I19">
        <v>53</v>
      </c>
      <c r="J19">
        <v>37</v>
      </c>
      <c r="K19">
        <v>16</v>
      </c>
      <c r="L19">
        <v>66</v>
      </c>
      <c r="M19">
        <v>1.74</v>
      </c>
      <c r="N19" s="1">
        <v>39789</v>
      </c>
      <c r="O19" t="s">
        <v>378</v>
      </c>
      <c r="P19" t="s">
        <v>207</v>
      </c>
    </row>
    <row r="20" spans="1:16" x14ac:dyDescent="0.2">
      <c r="A20" t="str" cm="1">
        <f t="array" ref="A20">_xlfn.IFS(C20="it ITA", "Serie A", C20="eng ENG", "Premier League", C20="de GER", "Bundesliga", C20="es ESP", "La Liga", C20="fr FRA", "Ligue 1")</f>
        <v>Ligue 1</v>
      </c>
      <c r="B20" t="s">
        <v>102</v>
      </c>
      <c r="C20" t="s">
        <v>157</v>
      </c>
      <c r="D20">
        <v>3</v>
      </c>
      <c r="E20">
        <v>34</v>
      </c>
      <c r="F20">
        <v>16</v>
      </c>
      <c r="G20">
        <v>11</v>
      </c>
      <c r="H20">
        <v>7</v>
      </c>
      <c r="I20">
        <v>48</v>
      </c>
      <c r="J20">
        <v>38</v>
      </c>
      <c r="K20">
        <v>10</v>
      </c>
      <c r="L20">
        <v>59</v>
      </c>
      <c r="M20">
        <v>1.74</v>
      </c>
      <c r="O20" t="s">
        <v>379</v>
      </c>
      <c r="P20" t="s">
        <v>380</v>
      </c>
    </row>
    <row r="21" spans="1:16" x14ac:dyDescent="0.2">
      <c r="A21" t="str" cm="1">
        <f t="array" ref="A21">_xlfn.IFS(C21="it ITA", "Serie A", C21="eng ENG", "Premier League", C21="de GER", "Bundesliga", C21="es ESP", "La Liga", C21="fr FRA", "Ligue 1")</f>
        <v>Ligue 1</v>
      </c>
      <c r="B21" t="s">
        <v>344</v>
      </c>
      <c r="C21" t="s">
        <v>157</v>
      </c>
      <c r="D21">
        <v>4</v>
      </c>
      <c r="E21">
        <v>34</v>
      </c>
      <c r="F21">
        <v>15</v>
      </c>
      <c r="G21">
        <v>13</v>
      </c>
      <c r="H21">
        <v>6</v>
      </c>
      <c r="I21">
        <v>43</v>
      </c>
      <c r="J21">
        <v>24</v>
      </c>
      <c r="K21">
        <v>19</v>
      </c>
      <c r="L21">
        <v>58</v>
      </c>
      <c r="M21">
        <v>1.71</v>
      </c>
      <c r="O21" t="s">
        <v>381</v>
      </c>
      <c r="P21" t="s">
        <v>164</v>
      </c>
    </row>
    <row r="22" spans="1:16" x14ac:dyDescent="0.2">
      <c r="A22" t="str" cm="1">
        <f t="array" ref="A22">_xlfn.IFS(C22="it ITA", "Serie A", C22="eng ENG", "Premier League", C22="de GER", "Bundesliga", C22="es ESP", "La Liga", C22="fr FRA", "Ligue 1")</f>
        <v>Premier League</v>
      </c>
      <c r="B22" t="s">
        <v>4</v>
      </c>
      <c r="C22" t="s">
        <v>150</v>
      </c>
      <c r="D22">
        <v>6</v>
      </c>
      <c r="E22">
        <v>38</v>
      </c>
      <c r="F22">
        <v>17</v>
      </c>
      <c r="G22">
        <v>13</v>
      </c>
      <c r="H22">
        <v>8</v>
      </c>
      <c r="I22">
        <v>66</v>
      </c>
      <c r="J22">
        <v>38</v>
      </c>
      <c r="K22">
        <v>28</v>
      </c>
      <c r="L22">
        <v>64</v>
      </c>
      <c r="M22">
        <v>1.68</v>
      </c>
      <c r="N22" s="1">
        <v>39030</v>
      </c>
      <c r="O22" t="s">
        <v>382</v>
      </c>
      <c r="P22" t="s">
        <v>383</v>
      </c>
    </row>
    <row r="23" spans="1:16" x14ac:dyDescent="0.2">
      <c r="A23" t="str" cm="1">
        <f t="array" ref="A23">_xlfn.IFS(C23="it ITA", "Serie A", C23="eng ENG", "Premier League", C23="de GER", "Bundesliga", C23="es ESP", "La Liga", C23="fr FRA", "Ligue 1")</f>
        <v>La Liga</v>
      </c>
      <c r="B23" t="s">
        <v>23</v>
      </c>
      <c r="C23" t="s">
        <v>165</v>
      </c>
      <c r="D23">
        <v>4</v>
      </c>
      <c r="E23">
        <v>38</v>
      </c>
      <c r="F23">
        <v>18</v>
      </c>
      <c r="G23">
        <v>10</v>
      </c>
      <c r="H23">
        <v>10</v>
      </c>
      <c r="I23">
        <v>65</v>
      </c>
      <c r="J23">
        <v>37</v>
      </c>
      <c r="K23">
        <v>28</v>
      </c>
      <c r="L23">
        <v>64</v>
      </c>
      <c r="M23">
        <v>1.68</v>
      </c>
      <c r="O23" t="s">
        <v>384</v>
      </c>
      <c r="P23" t="s">
        <v>385</v>
      </c>
    </row>
    <row r="24" spans="1:16" x14ac:dyDescent="0.2">
      <c r="A24" t="str" cm="1">
        <f t="array" ref="A24">_xlfn.IFS(C24="it ITA", "Serie A", C24="eng ENG", "Premier League", C24="de GER", "Bundesliga", C24="es ESP", "La Liga", C24="fr FRA", "Ligue 1")</f>
        <v>Bundesliga</v>
      </c>
      <c r="B24" t="s">
        <v>84</v>
      </c>
      <c r="C24" t="s">
        <v>160</v>
      </c>
      <c r="D24">
        <v>6</v>
      </c>
      <c r="E24">
        <v>34</v>
      </c>
      <c r="F24">
        <v>17</v>
      </c>
      <c r="G24">
        <v>5</v>
      </c>
      <c r="H24">
        <v>12</v>
      </c>
      <c r="I24">
        <v>54</v>
      </c>
      <c r="J24">
        <v>43</v>
      </c>
      <c r="K24">
        <v>11</v>
      </c>
      <c r="L24">
        <v>56</v>
      </c>
      <c r="M24">
        <v>1.65</v>
      </c>
      <c r="O24" t="s">
        <v>386</v>
      </c>
      <c r="P24" t="s">
        <v>387</v>
      </c>
    </row>
    <row r="25" spans="1:16" x14ac:dyDescent="0.2">
      <c r="A25" t="str" cm="1">
        <f t="array" ref="A25">_xlfn.IFS(C25="it ITA", "Serie A", C25="eng ENG", "Premier League", C25="de GER", "Bundesliga", C25="es ESP", "La Liga", C25="fr FRA", "Ligue 1")</f>
        <v>Bundesliga</v>
      </c>
      <c r="B25" t="s">
        <v>73</v>
      </c>
      <c r="C25" t="s">
        <v>160</v>
      </c>
      <c r="D25">
        <v>7</v>
      </c>
      <c r="E25">
        <v>34</v>
      </c>
      <c r="F25">
        <v>17</v>
      </c>
      <c r="G25">
        <v>5</v>
      </c>
      <c r="H25">
        <v>12</v>
      </c>
      <c r="I25">
        <v>62</v>
      </c>
      <c r="J25">
        <v>53</v>
      </c>
      <c r="K25">
        <v>9</v>
      </c>
      <c r="L25">
        <v>56</v>
      </c>
      <c r="M25">
        <v>1.65</v>
      </c>
      <c r="O25" t="s">
        <v>388</v>
      </c>
      <c r="P25" t="s">
        <v>323</v>
      </c>
    </row>
    <row r="26" spans="1:16" x14ac:dyDescent="0.2">
      <c r="A26" t="str" cm="1">
        <f t="array" ref="A26">_xlfn.IFS(C26="it ITA", "Serie A", C26="eng ENG", "Premier League", C26="de GER", "Bundesliga", C26="es ESP", "La Liga", C26="fr FRA", "Ligue 1")</f>
        <v>Ligue 1</v>
      </c>
      <c r="B26" t="s">
        <v>96</v>
      </c>
      <c r="C26" t="s">
        <v>157</v>
      </c>
      <c r="D26">
        <v>5</v>
      </c>
      <c r="E26">
        <v>34</v>
      </c>
      <c r="F26">
        <v>15</v>
      </c>
      <c r="G26">
        <v>11</v>
      </c>
      <c r="H26">
        <v>8</v>
      </c>
      <c r="I26">
        <v>39</v>
      </c>
      <c r="J26">
        <v>32</v>
      </c>
      <c r="K26">
        <v>7</v>
      </c>
      <c r="L26">
        <v>56</v>
      </c>
      <c r="M26">
        <v>1.65</v>
      </c>
      <c r="O26" t="s">
        <v>389</v>
      </c>
      <c r="P26" t="s">
        <v>390</v>
      </c>
    </row>
    <row r="27" spans="1:16" x14ac:dyDescent="0.2">
      <c r="A27" t="str" cm="1">
        <f t="array" ref="A27">_xlfn.IFS(C27="it ITA", "Serie A", C27="eng ENG", "Premier League", C27="de GER", "Bundesliga", C27="es ESP", "La Liga", C27="fr FRA", "Ligue 1")</f>
        <v>Serie A</v>
      </c>
      <c r="B27" t="s">
        <v>52</v>
      </c>
      <c r="C27" t="s">
        <v>147</v>
      </c>
      <c r="D27">
        <v>4</v>
      </c>
      <c r="E27">
        <v>34</v>
      </c>
      <c r="F27">
        <v>14</v>
      </c>
      <c r="G27">
        <v>13</v>
      </c>
      <c r="H27">
        <v>7</v>
      </c>
      <c r="I27">
        <v>47</v>
      </c>
      <c r="J27">
        <v>33</v>
      </c>
      <c r="K27">
        <v>14</v>
      </c>
      <c r="L27">
        <v>55</v>
      </c>
      <c r="M27">
        <v>1.62</v>
      </c>
      <c r="O27" t="s">
        <v>391</v>
      </c>
      <c r="P27" t="s">
        <v>392</v>
      </c>
    </row>
    <row r="28" spans="1:16" x14ac:dyDescent="0.2">
      <c r="A28" t="str" cm="1">
        <f t="array" ref="A28">_xlfn.IFS(C28="it ITA", "Serie A", C28="eng ENG", "Premier League", C28="de GER", "Bundesliga", C28="es ESP", "La Liga", C28="fr FRA", "Ligue 1")</f>
        <v>Serie A</v>
      </c>
      <c r="B28" t="s">
        <v>510</v>
      </c>
      <c r="C28" t="s">
        <v>147</v>
      </c>
      <c r="D28">
        <v>5</v>
      </c>
      <c r="E28">
        <v>34</v>
      </c>
      <c r="F28">
        <v>14</v>
      </c>
      <c r="G28">
        <v>12</v>
      </c>
      <c r="H28">
        <v>8</v>
      </c>
      <c r="I28">
        <v>57</v>
      </c>
      <c r="J28">
        <v>52</v>
      </c>
      <c r="K28">
        <v>5</v>
      </c>
      <c r="L28">
        <v>54</v>
      </c>
      <c r="M28">
        <v>1.59</v>
      </c>
      <c r="O28" t="s">
        <v>393</v>
      </c>
      <c r="P28" t="s">
        <v>394</v>
      </c>
    </row>
    <row r="29" spans="1:16" x14ac:dyDescent="0.2">
      <c r="A29" t="str" cm="1">
        <f t="array" ref="A29">_xlfn.IFS(C29="it ITA", "Serie A", C29="eng ENG", "Premier League", C29="de GER", "Bundesliga", C29="es ESP", "La Liga", C29="fr FRA", "Ligue 1")</f>
        <v>La Liga</v>
      </c>
      <c r="B29" t="s">
        <v>110</v>
      </c>
      <c r="C29" t="s">
        <v>165</v>
      </c>
      <c r="D29">
        <v>5</v>
      </c>
      <c r="E29">
        <v>38</v>
      </c>
      <c r="F29">
        <v>16</v>
      </c>
      <c r="G29">
        <v>12</v>
      </c>
      <c r="H29">
        <v>10</v>
      </c>
      <c r="I29">
        <v>64</v>
      </c>
      <c r="J29">
        <v>46</v>
      </c>
      <c r="K29">
        <v>18</v>
      </c>
      <c r="L29">
        <v>60</v>
      </c>
      <c r="M29">
        <v>1.58</v>
      </c>
      <c r="O29" t="s">
        <v>395</v>
      </c>
      <c r="P29" t="s">
        <v>396</v>
      </c>
    </row>
    <row r="30" spans="1:16" x14ac:dyDescent="0.2">
      <c r="A30" t="str" cm="1">
        <f t="array" ref="A30">_xlfn.IFS(C30="it ITA", "Serie A", C30="eng ENG", "Premier League", C30="de GER", "Bundesliga", C30="es ESP", "La Liga", C30="fr FRA", "Ligue 1")</f>
        <v>Serie A</v>
      </c>
      <c r="B30" t="s">
        <v>50</v>
      </c>
      <c r="C30" t="s">
        <v>147</v>
      </c>
      <c r="D30">
        <v>6</v>
      </c>
      <c r="E30">
        <v>34</v>
      </c>
      <c r="F30">
        <v>14</v>
      </c>
      <c r="G30">
        <v>11</v>
      </c>
      <c r="H30">
        <v>9</v>
      </c>
      <c r="I30">
        <v>50</v>
      </c>
      <c r="J30">
        <v>37</v>
      </c>
      <c r="K30">
        <v>13</v>
      </c>
      <c r="L30">
        <v>53</v>
      </c>
      <c r="M30">
        <v>1.56</v>
      </c>
      <c r="O30" t="s">
        <v>397</v>
      </c>
      <c r="P30" t="s">
        <v>149</v>
      </c>
    </row>
    <row r="31" spans="1:16" x14ac:dyDescent="0.2">
      <c r="A31" t="str" cm="1">
        <f t="array" ref="A31">_xlfn.IFS(C31="it ITA", "Serie A", C31="eng ENG", "Premier League", C31="de GER", "Bundesliga", C31="es ESP", "La Liga", C31="fr FRA", "Ligue 1")</f>
        <v>La Liga</v>
      </c>
      <c r="B31" t="s">
        <v>109</v>
      </c>
      <c r="C31" t="s">
        <v>165</v>
      </c>
      <c r="D31">
        <v>6</v>
      </c>
      <c r="E31">
        <v>38</v>
      </c>
      <c r="F31">
        <v>15</v>
      </c>
      <c r="G31">
        <v>14</v>
      </c>
      <c r="H31">
        <v>9</v>
      </c>
      <c r="I31">
        <v>42</v>
      </c>
      <c r="J31">
        <v>34</v>
      </c>
      <c r="K31">
        <v>8</v>
      </c>
      <c r="L31">
        <v>59</v>
      </c>
      <c r="M31">
        <v>1.55</v>
      </c>
      <c r="O31" t="s">
        <v>398</v>
      </c>
      <c r="P31" t="s">
        <v>209</v>
      </c>
    </row>
    <row r="32" spans="1:16" x14ac:dyDescent="0.2">
      <c r="A32" t="str" cm="1">
        <f t="array" ref="A32">_xlfn.IFS(C32="it ITA", "Serie A", C32="eng ENG", "Premier League", C32="de GER", "Bundesliga", C32="es ESP", "La Liga", C32="fr FRA", "Ligue 1")</f>
        <v>Serie A</v>
      </c>
      <c r="B32" t="s">
        <v>120</v>
      </c>
      <c r="C32" t="s">
        <v>147</v>
      </c>
      <c r="D32">
        <v>7</v>
      </c>
      <c r="E32">
        <v>34</v>
      </c>
      <c r="F32">
        <v>15</v>
      </c>
      <c r="G32">
        <v>7</v>
      </c>
      <c r="H32">
        <v>12</v>
      </c>
      <c r="I32">
        <v>40</v>
      </c>
      <c r="J32">
        <v>40</v>
      </c>
      <c r="K32">
        <v>0</v>
      </c>
      <c r="L32">
        <v>52</v>
      </c>
      <c r="M32">
        <v>1.53</v>
      </c>
      <c r="O32" t="s">
        <v>399</v>
      </c>
      <c r="P32" t="s">
        <v>156</v>
      </c>
    </row>
    <row r="33" spans="1:16" x14ac:dyDescent="0.2">
      <c r="A33" t="str" cm="1">
        <f t="array" ref="A33">_xlfn.IFS(C33="it ITA", "Serie A", C33="eng ENG", "Premier League", C33="de GER", "Bundesliga", C33="es ESP", "La Liga", C33="fr FRA", "Ligue 1")</f>
        <v>Bundesliga</v>
      </c>
      <c r="B33" t="s">
        <v>81</v>
      </c>
      <c r="C33" t="s">
        <v>160</v>
      </c>
      <c r="D33">
        <v>8</v>
      </c>
      <c r="E33">
        <v>34</v>
      </c>
      <c r="F33">
        <v>13</v>
      </c>
      <c r="G33">
        <v>11</v>
      </c>
      <c r="H33">
        <v>10</v>
      </c>
      <c r="I33">
        <v>47</v>
      </c>
      <c r="J33">
        <v>43</v>
      </c>
      <c r="K33">
        <v>4</v>
      </c>
      <c r="L33">
        <v>50</v>
      </c>
      <c r="M33">
        <v>1.47</v>
      </c>
      <c r="O33" t="s">
        <v>400</v>
      </c>
      <c r="P33" t="s">
        <v>401</v>
      </c>
    </row>
    <row r="34" spans="1:16" x14ac:dyDescent="0.2">
      <c r="A34" t="str" cm="1">
        <f t="array" ref="A34">_xlfn.IFS(C34="it ITA", "Serie A", C34="eng ENG", "Premier League", C34="de GER", "Bundesliga", C34="es ESP", "La Liga", C34="fr FRA", "Ligue 1")</f>
        <v>Ligue 1</v>
      </c>
      <c r="B34" t="s">
        <v>85</v>
      </c>
      <c r="C34" t="s">
        <v>157</v>
      </c>
      <c r="D34">
        <v>6</v>
      </c>
      <c r="E34">
        <v>34</v>
      </c>
      <c r="F34">
        <v>14</v>
      </c>
      <c r="G34">
        <v>8</v>
      </c>
      <c r="H34">
        <v>12</v>
      </c>
      <c r="I34">
        <v>34</v>
      </c>
      <c r="J34">
        <v>31</v>
      </c>
      <c r="K34">
        <v>3</v>
      </c>
      <c r="L34">
        <v>50</v>
      </c>
      <c r="M34">
        <v>1.47</v>
      </c>
      <c r="O34" t="s">
        <v>402</v>
      </c>
      <c r="P34" t="s">
        <v>195</v>
      </c>
    </row>
    <row r="35" spans="1:16" x14ac:dyDescent="0.2">
      <c r="A35" t="str" cm="1">
        <f t="array" ref="A35">_xlfn.IFS(C35="it ITA", "Serie A", C35="eng ENG", "Premier League", C35="de GER", "Bundesliga", C35="es ESP", "La Liga", C35="fr FRA", "Ligue 1")</f>
        <v>Bundesliga</v>
      </c>
      <c r="B35" t="s">
        <v>347</v>
      </c>
      <c r="C35" t="s">
        <v>160</v>
      </c>
      <c r="D35">
        <v>9</v>
      </c>
      <c r="E35">
        <v>34</v>
      </c>
      <c r="F35">
        <v>15</v>
      </c>
      <c r="G35">
        <v>5</v>
      </c>
      <c r="H35">
        <v>14</v>
      </c>
      <c r="I35">
        <v>59</v>
      </c>
      <c r="J35">
        <v>59</v>
      </c>
      <c r="K35">
        <v>0</v>
      </c>
      <c r="L35">
        <v>50</v>
      </c>
      <c r="M35">
        <v>1.47</v>
      </c>
      <c r="O35" t="s">
        <v>403</v>
      </c>
      <c r="P35" t="s">
        <v>404</v>
      </c>
    </row>
    <row r="36" spans="1:16" x14ac:dyDescent="0.2">
      <c r="A36" t="str" cm="1">
        <f t="array" ref="A36">_xlfn.IFS(C36="it ITA", "Serie A", C36="eng ENG", "Premier League", C36="de GER", "Bundesliga", C36="es ESP", "La Liga", C36="fr FRA", "Ligue 1")</f>
        <v>La Liga</v>
      </c>
      <c r="B36" t="s">
        <v>511</v>
      </c>
      <c r="C36" t="s">
        <v>165</v>
      </c>
      <c r="D36">
        <v>7</v>
      </c>
      <c r="E36">
        <v>38</v>
      </c>
      <c r="F36">
        <v>17</v>
      </c>
      <c r="G36">
        <v>3</v>
      </c>
      <c r="H36">
        <v>18</v>
      </c>
      <c r="I36">
        <v>41</v>
      </c>
      <c r="J36">
        <v>44</v>
      </c>
      <c r="K36">
        <v>-3</v>
      </c>
      <c r="L36">
        <v>54</v>
      </c>
      <c r="M36">
        <v>1.42</v>
      </c>
      <c r="O36" t="s">
        <v>405</v>
      </c>
      <c r="P36" t="s">
        <v>406</v>
      </c>
    </row>
    <row r="37" spans="1:16" x14ac:dyDescent="0.2">
      <c r="A37" t="str" cm="1">
        <f t="array" ref="A37">_xlfn.IFS(C37="it ITA", "Serie A", C37="eng ENG", "Premier League", C37="de GER", "Bundesliga", C37="es ESP", "La Liga", C37="fr FRA", "Ligue 1")</f>
        <v>La Liga</v>
      </c>
      <c r="B37" t="s">
        <v>27</v>
      </c>
      <c r="C37" t="s">
        <v>165</v>
      </c>
      <c r="D37">
        <v>8</v>
      </c>
      <c r="E37">
        <v>38</v>
      </c>
      <c r="F37">
        <v>14</v>
      </c>
      <c r="G37">
        <v>11</v>
      </c>
      <c r="H37">
        <v>13</v>
      </c>
      <c r="I37">
        <v>51</v>
      </c>
      <c r="J37">
        <v>40</v>
      </c>
      <c r="K37">
        <v>11</v>
      </c>
      <c r="L37">
        <v>53</v>
      </c>
      <c r="M37">
        <v>1.39</v>
      </c>
      <c r="O37" t="s">
        <v>407</v>
      </c>
      <c r="P37" t="s">
        <v>408</v>
      </c>
    </row>
    <row r="38" spans="1:16" x14ac:dyDescent="0.2">
      <c r="A38" t="str" cm="1">
        <f t="array" ref="A38">_xlfn.IFS(C38="it ITA", "Serie A", C38="eng ENG", "Premier League", C38="de GER", "Bundesliga", C38="es ESP", "La Liga", C38="fr FRA", "Ligue 1")</f>
        <v>La Liga</v>
      </c>
      <c r="B38" t="s">
        <v>512</v>
      </c>
      <c r="C38" t="s">
        <v>165</v>
      </c>
      <c r="D38">
        <v>10</v>
      </c>
      <c r="E38">
        <v>38</v>
      </c>
      <c r="F38">
        <v>13</v>
      </c>
      <c r="G38">
        <v>14</v>
      </c>
      <c r="H38">
        <v>11</v>
      </c>
      <c r="I38">
        <v>44</v>
      </c>
      <c r="J38">
        <v>44</v>
      </c>
      <c r="K38">
        <v>0</v>
      </c>
      <c r="L38">
        <v>53</v>
      </c>
      <c r="M38">
        <v>1.39</v>
      </c>
      <c r="O38" t="s">
        <v>409</v>
      </c>
      <c r="P38" t="s">
        <v>410</v>
      </c>
    </row>
    <row r="39" spans="1:16" x14ac:dyDescent="0.2">
      <c r="A39" t="str" cm="1">
        <f t="array" ref="A39">_xlfn.IFS(C39="it ITA", "Serie A", C39="eng ENG", "Premier League", C39="de GER", "Bundesliga", C39="es ESP", "La Liga", C39="fr FRA", "Ligue 1")</f>
        <v>Premier League</v>
      </c>
      <c r="B39" t="s">
        <v>345</v>
      </c>
      <c r="C39" t="s">
        <v>150</v>
      </c>
      <c r="D39">
        <v>7</v>
      </c>
      <c r="E39">
        <v>38</v>
      </c>
      <c r="F39">
        <v>15</v>
      </c>
      <c r="G39">
        <v>8</v>
      </c>
      <c r="H39">
        <v>15</v>
      </c>
      <c r="I39">
        <v>48</v>
      </c>
      <c r="J39">
        <v>57</v>
      </c>
      <c r="K39">
        <v>-9</v>
      </c>
      <c r="L39">
        <v>53</v>
      </c>
      <c r="M39">
        <v>1.39</v>
      </c>
      <c r="N39" s="1">
        <v>31569</v>
      </c>
      <c r="O39" t="s">
        <v>411</v>
      </c>
      <c r="P39" t="s">
        <v>177</v>
      </c>
    </row>
    <row r="40" spans="1:16" x14ac:dyDescent="0.2">
      <c r="A40" t="str" cm="1">
        <f t="array" ref="A40">_xlfn.IFS(C40="it ITA", "Serie A", C40="eng ENG", "Premier League", C40="de GER", "Bundesliga", C40="es ESP", "La Liga", C40="fr FRA", "Ligue 1")</f>
        <v>La Liga</v>
      </c>
      <c r="B40" t="s">
        <v>342</v>
      </c>
      <c r="C40" t="s">
        <v>165</v>
      </c>
      <c r="D40">
        <v>9</v>
      </c>
      <c r="E40">
        <v>38</v>
      </c>
      <c r="F40">
        <v>14</v>
      </c>
      <c r="G40">
        <v>11</v>
      </c>
      <c r="H40">
        <v>13</v>
      </c>
      <c r="I40">
        <v>54</v>
      </c>
      <c r="J40">
        <v>66</v>
      </c>
      <c r="K40">
        <v>-12</v>
      </c>
      <c r="L40">
        <v>53</v>
      </c>
      <c r="M40">
        <v>1.39</v>
      </c>
      <c r="O40" t="s">
        <v>412</v>
      </c>
      <c r="P40" t="s">
        <v>413</v>
      </c>
    </row>
    <row r="41" spans="1:16" x14ac:dyDescent="0.2">
      <c r="A41" t="str" cm="1">
        <f t="array" ref="A41">_xlfn.IFS(C41="it ITA", "Serie A", C41="eng ENG", "Premier League", C41="de GER", "Bundesliga", C41="es ESP", "La Liga", C41="fr FRA", "Ligue 1")</f>
        <v>Ligue 1</v>
      </c>
      <c r="B41" t="s">
        <v>513</v>
      </c>
      <c r="C41" t="s">
        <v>157</v>
      </c>
      <c r="D41">
        <v>7</v>
      </c>
      <c r="E41">
        <v>34</v>
      </c>
      <c r="F41">
        <v>13</v>
      </c>
      <c r="G41">
        <v>8</v>
      </c>
      <c r="H41">
        <v>13</v>
      </c>
      <c r="I41">
        <v>40</v>
      </c>
      <c r="J41">
        <v>35</v>
      </c>
      <c r="K41">
        <v>5</v>
      </c>
      <c r="L41">
        <v>47</v>
      </c>
      <c r="M41">
        <v>1.38</v>
      </c>
      <c r="O41" t="s">
        <v>414</v>
      </c>
      <c r="P41" t="s">
        <v>303</v>
      </c>
    </row>
    <row r="42" spans="1:16" x14ac:dyDescent="0.2">
      <c r="A42" t="str" cm="1">
        <f t="array" ref="A42">_xlfn.IFS(C42="it ITA", "Serie A", C42="eng ENG", "Premier League", C42="de GER", "Bundesliga", C42="es ESP", "La Liga", C42="fr FRA", "Ligue 1")</f>
        <v>Bundesliga</v>
      </c>
      <c r="B42" t="s">
        <v>352</v>
      </c>
      <c r="C42" t="s">
        <v>160</v>
      </c>
      <c r="D42">
        <v>10</v>
      </c>
      <c r="E42">
        <v>34</v>
      </c>
      <c r="F42">
        <v>13</v>
      </c>
      <c r="G42">
        <v>7</v>
      </c>
      <c r="H42">
        <v>14</v>
      </c>
      <c r="I42">
        <v>57</v>
      </c>
      <c r="J42">
        <v>49</v>
      </c>
      <c r="K42">
        <v>8</v>
      </c>
      <c r="L42">
        <v>46</v>
      </c>
      <c r="M42">
        <v>1.35</v>
      </c>
      <c r="O42" t="s">
        <v>415</v>
      </c>
      <c r="P42" t="s">
        <v>293</v>
      </c>
    </row>
    <row r="43" spans="1:16" x14ac:dyDescent="0.2">
      <c r="A43" t="str" cm="1">
        <f t="array" ref="A43">_xlfn.IFS(C43="it ITA", "Serie A", C43="eng ENG", "Premier League", C43="de GER", "Bundesliga", C43="es ESP", "La Liga", C43="fr FRA", "Ligue 1")</f>
        <v>Ligue 1</v>
      </c>
      <c r="B43" t="s">
        <v>95</v>
      </c>
      <c r="C43" t="s">
        <v>157</v>
      </c>
      <c r="D43">
        <v>8</v>
      </c>
      <c r="E43">
        <v>34</v>
      </c>
      <c r="F43">
        <v>12</v>
      </c>
      <c r="G43">
        <v>10</v>
      </c>
      <c r="H43">
        <v>12</v>
      </c>
      <c r="I43">
        <v>41</v>
      </c>
      <c r="J43">
        <v>40</v>
      </c>
      <c r="K43">
        <v>1</v>
      </c>
      <c r="L43">
        <v>46</v>
      </c>
      <c r="M43">
        <v>1.35</v>
      </c>
      <c r="O43" t="s">
        <v>416</v>
      </c>
      <c r="P43" t="s">
        <v>417</v>
      </c>
    </row>
    <row r="44" spans="1:16" x14ac:dyDescent="0.2">
      <c r="A44" t="str" cm="1">
        <f t="array" ref="A44">_xlfn.IFS(C44="it ITA", "Serie A", C44="eng ENG", "Premier League", C44="de GER", "Bundesliga", C44="es ESP", "La Liga", C44="fr FRA", "Ligue 1")</f>
        <v>Serie A</v>
      </c>
      <c r="B44" t="s">
        <v>514</v>
      </c>
      <c r="C44" t="s">
        <v>147</v>
      </c>
      <c r="D44">
        <v>8</v>
      </c>
      <c r="E44">
        <v>34</v>
      </c>
      <c r="F44">
        <v>13</v>
      </c>
      <c r="G44">
        <v>7</v>
      </c>
      <c r="H44">
        <v>14</v>
      </c>
      <c r="I44">
        <v>38</v>
      </c>
      <c r="J44">
        <v>46</v>
      </c>
      <c r="K44">
        <v>-8</v>
      </c>
      <c r="L44">
        <v>46</v>
      </c>
      <c r="M44">
        <v>1.35</v>
      </c>
      <c r="O44" t="s">
        <v>418</v>
      </c>
      <c r="P44" t="s">
        <v>419</v>
      </c>
    </row>
    <row r="45" spans="1:16" x14ac:dyDescent="0.2">
      <c r="A45" t="str" cm="1">
        <f t="array" ref="A45">_xlfn.IFS(C45="it ITA", "Serie A", C45="eng ENG", "Premier League", C45="de GER", "Bundesliga", C45="es ESP", "La Liga", C45="fr FRA", "Ligue 1")</f>
        <v>Premier League</v>
      </c>
      <c r="B45" t="s">
        <v>1</v>
      </c>
      <c r="C45" t="s">
        <v>150</v>
      </c>
      <c r="D45">
        <v>8</v>
      </c>
      <c r="E45">
        <v>38</v>
      </c>
      <c r="F45">
        <v>12</v>
      </c>
      <c r="G45">
        <v>14</v>
      </c>
      <c r="H45">
        <v>12</v>
      </c>
      <c r="I45">
        <v>46</v>
      </c>
      <c r="J45">
        <v>47</v>
      </c>
      <c r="K45">
        <v>-1</v>
      </c>
      <c r="L45">
        <v>50</v>
      </c>
      <c r="M45">
        <v>1.32</v>
      </c>
      <c r="N45" s="1">
        <v>35012</v>
      </c>
      <c r="O45" t="s">
        <v>420</v>
      </c>
      <c r="P45" t="s">
        <v>154</v>
      </c>
    </row>
    <row r="46" spans="1:16" x14ac:dyDescent="0.2">
      <c r="A46" t="str" cm="1">
        <f t="array" ref="A46">_xlfn.IFS(C46="it ITA", "Serie A", C46="eng ENG", "Premier League", C46="de GER", "Bundesliga", C46="es ESP", "La Liga", C46="fr FRA", "Ligue 1")</f>
        <v>Premier League</v>
      </c>
      <c r="B46" t="s">
        <v>350</v>
      </c>
      <c r="C46" t="s">
        <v>150</v>
      </c>
      <c r="D46">
        <v>9</v>
      </c>
      <c r="E46">
        <v>38</v>
      </c>
      <c r="F46">
        <v>14</v>
      </c>
      <c r="G46">
        <v>8</v>
      </c>
      <c r="H46">
        <v>16</v>
      </c>
      <c r="I46">
        <v>49</v>
      </c>
      <c r="J46">
        <v>53</v>
      </c>
      <c r="K46">
        <v>-4</v>
      </c>
      <c r="L46">
        <v>50</v>
      </c>
      <c r="M46">
        <v>1.32</v>
      </c>
      <c r="N46" s="1">
        <v>35001</v>
      </c>
      <c r="O46" t="s">
        <v>421</v>
      </c>
      <c r="P46" t="s">
        <v>285</v>
      </c>
    </row>
    <row r="47" spans="1:16" x14ac:dyDescent="0.2">
      <c r="A47" t="str" cm="1">
        <f t="array" ref="A47">_xlfn.IFS(C47="it ITA", "Serie A", C47="eng ENG", "Premier League", C47="de GER", "Bundesliga", C47="es ESP", "La Liga", C47="fr FRA", "Ligue 1")</f>
        <v>Serie A</v>
      </c>
      <c r="B47" t="s">
        <v>43</v>
      </c>
      <c r="C47" t="s">
        <v>147</v>
      </c>
      <c r="D47">
        <v>9</v>
      </c>
      <c r="E47">
        <v>34</v>
      </c>
      <c r="F47">
        <v>12</v>
      </c>
      <c r="G47">
        <v>9</v>
      </c>
      <c r="H47">
        <v>13</v>
      </c>
      <c r="I47">
        <v>41</v>
      </c>
      <c r="J47">
        <v>50</v>
      </c>
      <c r="K47">
        <v>-9</v>
      </c>
      <c r="L47">
        <v>45</v>
      </c>
      <c r="M47">
        <v>1.32</v>
      </c>
      <c r="O47" t="s">
        <v>422</v>
      </c>
      <c r="P47" t="s">
        <v>423</v>
      </c>
    </row>
    <row r="48" spans="1:16" x14ac:dyDescent="0.2">
      <c r="A48" t="str" cm="1">
        <f t="array" ref="A48">_xlfn.IFS(C48="it ITA", "Serie A", C48="eng ENG", "Premier League", C48="de GER", "Bundesliga", C48="es ESP", "La Liga", C48="fr FRA", "Ligue 1")</f>
        <v>Serie A</v>
      </c>
      <c r="B48" t="s">
        <v>54</v>
      </c>
      <c r="C48" t="s">
        <v>147</v>
      </c>
      <c r="D48">
        <v>10</v>
      </c>
      <c r="E48">
        <v>34</v>
      </c>
      <c r="F48">
        <v>12</v>
      </c>
      <c r="G48">
        <v>8</v>
      </c>
      <c r="H48">
        <v>14</v>
      </c>
      <c r="I48">
        <v>43</v>
      </c>
      <c r="J48">
        <v>47</v>
      </c>
      <c r="K48">
        <v>-4</v>
      </c>
      <c r="L48">
        <v>44</v>
      </c>
      <c r="M48">
        <v>1.29</v>
      </c>
      <c r="O48" t="s">
        <v>424</v>
      </c>
      <c r="P48" t="s">
        <v>333</v>
      </c>
    </row>
    <row r="49" spans="1:16" x14ac:dyDescent="0.2">
      <c r="A49" t="str" cm="1">
        <f t="array" ref="A49">_xlfn.IFS(C49="it ITA", "Serie A", C49="eng ENG", "Premier League", C49="de GER", "Bundesliga", C49="es ESP", "La Liga", C49="fr FRA", "Ligue 1")</f>
        <v>Ligue 1</v>
      </c>
      <c r="B49" t="s">
        <v>101</v>
      </c>
      <c r="C49" t="s">
        <v>157</v>
      </c>
      <c r="D49">
        <v>9</v>
      </c>
      <c r="E49">
        <v>34</v>
      </c>
      <c r="F49">
        <v>11</v>
      </c>
      <c r="G49">
        <v>11</v>
      </c>
      <c r="H49">
        <v>12</v>
      </c>
      <c r="I49">
        <v>34</v>
      </c>
      <c r="J49">
        <v>39</v>
      </c>
      <c r="K49">
        <v>-5</v>
      </c>
      <c r="L49">
        <v>44</v>
      </c>
      <c r="M49">
        <v>1.29</v>
      </c>
      <c r="O49" t="s">
        <v>425</v>
      </c>
      <c r="P49" t="s">
        <v>426</v>
      </c>
    </row>
    <row r="50" spans="1:16" x14ac:dyDescent="0.2">
      <c r="A50" t="str" cm="1">
        <f t="array" ref="A50">_xlfn.IFS(C50="it ITA", "Serie A", C50="eng ENG", "Premier League", C50="de GER", "Bundesliga", C50="es ESP", "La Liga", C50="fr FRA", "Ligue 1")</f>
        <v>La Liga</v>
      </c>
      <c r="B50" t="s">
        <v>40</v>
      </c>
      <c r="C50" t="s">
        <v>165</v>
      </c>
      <c r="D50">
        <v>11</v>
      </c>
      <c r="E50">
        <v>38</v>
      </c>
      <c r="F50">
        <v>13</v>
      </c>
      <c r="G50">
        <v>10</v>
      </c>
      <c r="H50">
        <v>15</v>
      </c>
      <c r="I50">
        <v>46</v>
      </c>
      <c r="J50">
        <v>52</v>
      </c>
      <c r="K50">
        <v>-6</v>
      </c>
      <c r="L50">
        <v>49</v>
      </c>
      <c r="M50">
        <v>1.29</v>
      </c>
      <c r="O50" t="s">
        <v>427</v>
      </c>
      <c r="P50" t="s">
        <v>179</v>
      </c>
    </row>
    <row r="51" spans="1:16" x14ac:dyDescent="0.2">
      <c r="A51" t="str" cm="1">
        <f t="array" ref="A51">_xlfn.IFS(C51="it ITA", "Serie A", C51="eng ENG", "Premier League", C51="de GER", "Bundesliga", C51="es ESP", "La Liga", C51="fr FRA", "Ligue 1")</f>
        <v>Serie A</v>
      </c>
      <c r="B51" t="s">
        <v>59</v>
      </c>
      <c r="C51" t="s">
        <v>147</v>
      </c>
      <c r="D51">
        <v>11</v>
      </c>
      <c r="E51">
        <v>34</v>
      </c>
      <c r="F51">
        <v>10</v>
      </c>
      <c r="G51">
        <v>13</v>
      </c>
      <c r="H51">
        <v>11</v>
      </c>
      <c r="I51">
        <v>37</v>
      </c>
      <c r="J51">
        <v>39</v>
      </c>
      <c r="K51">
        <v>-2</v>
      </c>
      <c r="L51">
        <v>43</v>
      </c>
      <c r="M51">
        <v>1.26</v>
      </c>
      <c r="O51" t="s">
        <v>428</v>
      </c>
      <c r="P51" t="s">
        <v>429</v>
      </c>
    </row>
    <row r="52" spans="1:16" x14ac:dyDescent="0.2">
      <c r="A52" t="str" cm="1">
        <f t="array" ref="A52">_xlfn.IFS(C52="it ITA", "Serie A", C52="eng ENG", "Premier League", C52="de GER", "Bundesliga", C52="es ESP", "La Liga", C52="fr FRA", "Ligue 1")</f>
        <v>Ligue 1</v>
      </c>
      <c r="B52" t="s">
        <v>86</v>
      </c>
      <c r="C52" t="s">
        <v>157</v>
      </c>
      <c r="D52">
        <v>10</v>
      </c>
      <c r="E52">
        <v>34</v>
      </c>
      <c r="F52">
        <v>12</v>
      </c>
      <c r="G52">
        <v>7</v>
      </c>
      <c r="H52">
        <v>15</v>
      </c>
      <c r="I52">
        <v>35</v>
      </c>
      <c r="J52">
        <v>41</v>
      </c>
      <c r="K52">
        <v>-6</v>
      </c>
      <c r="L52">
        <v>43</v>
      </c>
      <c r="M52">
        <v>1.26</v>
      </c>
      <c r="O52" t="s">
        <v>430</v>
      </c>
      <c r="P52" t="s">
        <v>265</v>
      </c>
    </row>
    <row r="53" spans="1:16" x14ac:dyDescent="0.2">
      <c r="A53" t="str" cm="1">
        <f t="array" ref="A53">_xlfn.IFS(C53="it ITA", "Serie A", C53="eng ENG", "Premier League", C53="de GER", "Bundesliga", C53="es ESP", "La Liga", C53="fr FRA", "Ligue 1")</f>
        <v>La Liga</v>
      </c>
      <c r="B53" t="s">
        <v>34</v>
      </c>
      <c r="C53" t="s">
        <v>165</v>
      </c>
      <c r="D53">
        <v>12</v>
      </c>
      <c r="E53">
        <v>38</v>
      </c>
      <c r="F53">
        <v>13</v>
      </c>
      <c r="G53">
        <v>9</v>
      </c>
      <c r="H53">
        <v>16</v>
      </c>
      <c r="I53">
        <v>45</v>
      </c>
      <c r="J53">
        <v>58</v>
      </c>
      <c r="K53">
        <v>-13</v>
      </c>
      <c r="L53">
        <v>48</v>
      </c>
      <c r="M53">
        <v>1.26</v>
      </c>
      <c r="O53" t="s">
        <v>431</v>
      </c>
      <c r="P53" t="s">
        <v>432</v>
      </c>
    </row>
    <row r="54" spans="1:16" x14ac:dyDescent="0.2">
      <c r="A54" t="str" cm="1">
        <f t="array" ref="A54">_xlfn.IFS(C54="it ITA", "Serie A", C54="eng ENG", "Premier League", C54="de GER", "Bundesliga", C54="es ESP", "La Liga", C54="fr FRA", "Ligue 1")</f>
        <v>Serie A</v>
      </c>
      <c r="B54" t="s">
        <v>55</v>
      </c>
      <c r="C54" t="s">
        <v>147</v>
      </c>
      <c r="D54">
        <v>12</v>
      </c>
      <c r="E54">
        <v>34</v>
      </c>
      <c r="F54">
        <v>11</v>
      </c>
      <c r="G54">
        <v>9</v>
      </c>
      <c r="H54">
        <v>14</v>
      </c>
      <c r="I54">
        <v>49</v>
      </c>
      <c r="J54">
        <v>43</v>
      </c>
      <c r="K54">
        <v>6</v>
      </c>
      <c r="L54">
        <v>42</v>
      </c>
      <c r="M54">
        <v>1.24</v>
      </c>
      <c r="O54" t="s">
        <v>433</v>
      </c>
      <c r="P54" t="s">
        <v>434</v>
      </c>
    </row>
    <row r="55" spans="1:16" x14ac:dyDescent="0.2">
      <c r="A55" t="str" cm="1">
        <f t="array" ref="A55">_xlfn.IFS(C55="it ITA", "Serie A", C55="eng ENG", "Premier League", C55="de GER", "Bundesliga", C55="es ESP", "La Liga", C55="fr FRA", "Ligue 1")</f>
        <v>La Liga</v>
      </c>
      <c r="B55" t="s">
        <v>32</v>
      </c>
      <c r="C55" t="s">
        <v>165</v>
      </c>
      <c r="D55">
        <v>13</v>
      </c>
      <c r="E55">
        <v>38</v>
      </c>
      <c r="F55">
        <v>13</v>
      </c>
      <c r="G55">
        <v>8</v>
      </c>
      <c r="H55">
        <v>17</v>
      </c>
      <c r="I55">
        <v>48</v>
      </c>
      <c r="J55">
        <v>54</v>
      </c>
      <c r="K55">
        <v>-6</v>
      </c>
      <c r="L55">
        <v>47</v>
      </c>
      <c r="M55">
        <v>1.24</v>
      </c>
      <c r="O55" t="s">
        <v>435</v>
      </c>
      <c r="P55" t="s">
        <v>436</v>
      </c>
    </row>
    <row r="56" spans="1:16" x14ac:dyDescent="0.2">
      <c r="A56" t="str" cm="1">
        <f t="array" ref="A56">_xlfn.IFS(C56="it ITA", "Serie A", C56="eng ENG", "Premier League", C56="de GER", "Bundesliga", C56="es ESP", "La Liga", C56="fr FRA", "Ligue 1")</f>
        <v>La Liga</v>
      </c>
      <c r="B56" t="s">
        <v>112</v>
      </c>
      <c r="C56" t="s">
        <v>165</v>
      </c>
      <c r="D56">
        <v>14</v>
      </c>
      <c r="E56">
        <v>38</v>
      </c>
      <c r="F56">
        <v>13</v>
      </c>
      <c r="G56">
        <v>8</v>
      </c>
      <c r="H56">
        <v>17</v>
      </c>
      <c r="I56">
        <v>47</v>
      </c>
      <c r="J56">
        <v>56</v>
      </c>
      <c r="K56">
        <v>-9</v>
      </c>
      <c r="L56">
        <v>47</v>
      </c>
      <c r="M56">
        <v>1.24</v>
      </c>
      <c r="O56" t="s">
        <v>437</v>
      </c>
      <c r="P56" t="s">
        <v>438</v>
      </c>
    </row>
    <row r="57" spans="1:16" x14ac:dyDescent="0.2">
      <c r="A57" t="str" cm="1">
        <f t="array" ref="A57">_xlfn.IFS(C57="it ITA", "Serie A", C57="eng ENG", "Premier League", C57="de GER", "Bundesliga", C57="es ESP", "La Liga", C57="fr FRA", "Ligue 1")</f>
        <v>Premier League</v>
      </c>
      <c r="B57" t="s">
        <v>3</v>
      </c>
      <c r="C57" t="s">
        <v>150</v>
      </c>
      <c r="D57">
        <v>10</v>
      </c>
      <c r="E57">
        <v>38</v>
      </c>
      <c r="F57">
        <v>12</v>
      </c>
      <c r="G57">
        <v>10</v>
      </c>
      <c r="H57">
        <v>16</v>
      </c>
      <c r="I57">
        <v>55</v>
      </c>
      <c r="J57">
        <v>51</v>
      </c>
      <c r="K57">
        <v>4</v>
      </c>
      <c r="L57">
        <v>46</v>
      </c>
      <c r="M57">
        <v>1.21</v>
      </c>
      <c r="N57" s="1">
        <v>25976</v>
      </c>
      <c r="O57" t="s">
        <v>439</v>
      </c>
      <c r="P57" t="s">
        <v>440</v>
      </c>
    </row>
    <row r="58" spans="1:16" x14ac:dyDescent="0.2">
      <c r="A58" t="str" cm="1">
        <f t="array" ref="A58">_xlfn.IFS(C58="it ITA", "Serie A", C58="eng ENG", "Premier League", C58="de GER", "Bundesliga", C58="es ESP", "La Liga", C58="fr FRA", "Ligue 1")</f>
        <v>Ligue 1</v>
      </c>
      <c r="B58" t="s">
        <v>128</v>
      </c>
      <c r="C58" t="s">
        <v>157</v>
      </c>
      <c r="D58">
        <v>11</v>
      </c>
      <c r="E58">
        <v>34</v>
      </c>
      <c r="F58">
        <v>12</v>
      </c>
      <c r="G58">
        <v>5</v>
      </c>
      <c r="H58">
        <v>17</v>
      </c>
      <c r="I58">
        <v>38</v>
      </c>
      <c r="J58">
        <v>44</v>
      </c>
      <c r="K58">
        <v>-6</v>
      </c>
      <c r="L58">
        <v>41</v>
      </c>
      <c r="M58">
        <v>1.21</v>
      </c>
      <c r="O58" t="s">
        <v>441</v>
      </c>
      <c r="P58" t="s">
        <v>442</v>
      </c>
    </row>
    <row r="59" spans="1:16" x14ac:dyDescent="0.2">
      <c r="A59" t="str" cm="1">
        <f t="array" ref="A59">_xlfn.IFS(C59="it ITA", "Serie A", C59="eng ENG", "Premier League", C59="de GER", "Bundesliga", C59="es ESP", "La Liga", C59="fr FRA", "Ligue 1")</f>
        <v>Ligue 1</v>
      </c>
      <c r="B59" t="s">
        <v>131</v>
      </c>
      <c r="C59" t="s">
        <v>157</v>
      </c>
      <c r="D59">
        <v>12</v>
      </c>
      <c r="E59">
        <v>34</v>
      </c>
      <c r="F59">
        <v>11</v>
      </c>
      <c r="G59">
        <v>8</v>
      </c>
      <c r="H59">
        <v>15</v>
      </c>
      <c r="I59">
        <v>40</v>
      </c>
      <c r="J59">
        <v>51</v>
      </c>
      <c r="K59">
        <v>-11</v>
      </c>
      <c r="L59">
        <v>41</v>
      </c>
      <c r="M59">
        <v>1.21</v>
      </c>
      <c r="O59" t="s">
        <v>443</v>
      </c>
      <c r="P59" t="s">
        <v>225</v>
      </c>
    </row>
    <row r="60" spans="1:16" x14ac:dyDescent="0.2">
      <c r="A60" t="str" cm="1">
        <f t="array" ref="A60">_xlfn.IFS(C60="it ITA", "Serie A", C60="eng ENG", "Premier League", C60="de GER", "Bundesliga", C60="es ESP", "La Liga", C60="fr FRA", "Ligue 1")</f>
        <v>Ligue 1</v>
      </c>
      <c r="B60" t="s">
        <v>88</v>
      </c>
      <c r="C60" t="s">
        <v>157</v>
      </c>
      <c r="D60">
        <v>13</v>
      </c>
      <c r="E60">
        <v>34</v>
      </c>
      <c r="F60">
        <v>9</v>
      </c>
      <c r="G60">
        <v>13</v>
      </c>
      <c r="H60">
        <v>12</v>
      </c>
      <c r="I60">
        <v>28</v>
      </c>
      <c r="J60">
        <v>31</v>
      </c>
      <c r="K60">
        <v>-3</v>
      </c>
      <c r="L60">
        <v>40</v>
      </c>
      <c r="M60">
        <v>1.18</v>
      </c>
      <c r="O60" t="s">
        <v>444</v>
      </c>
      <c r="P60" t="s">
        <v>445</v>
      </c>
    </row>
    <row r="61" spans="1:16" x14ac:dyDescent="0.2">
      <c r="A61" t="str" cm="1">
        <f t="array" ref="A61">_xlfn.IFS(C61="it ITA", "Serie A", C61="eng ENG", "Premier League", C61="de GER", "Bundesliga", C61="es ESP", "La Liga", C61="fr FRA", "Ligue 1")</f>
        <v>Bundesliga</v>
      </c>
      <c r="B61" t="s">
        <v>71</v>
      </c>
      <c r="C61" t="s">
        <v>160</v>
      </c>
      <c r="D61">
        <v>11</v>
      </c>
      <c r="E61">
        <v>34</v>
      </c>
      <c r="F61">
        <v>10</v>
      </c>
      <c r="G61">
        <v>10</v>
      </c>
      <c r="H61">
        <v>14</v>
      </c>
      <c r="I61">
        <v>51</v>
      </c>
      <c r="J61">
        <v>57</v>
      </c>
      <c r="K61">
        <v>-6</v>
      </c>
      <c r="L61">
        <v>40</v>
      </c>
      <c r="M61">
        <v>1.18</v>
      </c>
      <c r="O61" t="s">
        <v>446</v>
      </c>
      <c r="P61" t="s">
        <v>219</v>
      </c>
    </row>
    <row r="62" spans="1:16" x14ac:dyDescent="0.2">
      <c r="A62" t="str" cm="1">
        <f t="array" ref="A62">_xlfn.IFS(C62="it ITA", "Serie A", C62="eng ENG", "Premier League", C62="de GER", "Bundesliga", C62="es ESP", "La Liga", C62="fr FRA", "Ligue 1")</f>
        <v>Premier League</v>
      </c>
      <c r="B62" t="s">
        <v>18</v>
      </c>
      <c r="C62" t="s">
        <v>150</v>
      </c>
      <c r="D62">
        <v>11</v>
      </c>
      <c r="E62">
        <v>38</v>
      </c>
      <c r="F62">
        <v>12</v>
      </c>
      <c r="G62">
        <v>9</v>
      </c>
      <c r="H62">
        <v>17</v>
      </c>
      <c r="I62">
        <v>46</v>
      </c>
      <c r="J62">
        <v>54</v>
      </c>
      <c r="K62">
        <v>-8</v>
      </c>
      <c r="L62">
        <v>45</v>
      </c>
      <c r="M62">
        <v>1.18</v>
      </c>
      <c r="N62" s="1">
        <v>30633</v>
      </c>
      <c r="O62" t="s">
        <v>447</v>
      </c>
      <c r="P62" t="s">
        <v>259</v>
      </c>
    </row>
    <row r="63" spans="1:16" x14ac:dyDescent="0.2">
      <c r="A63" t="str" cm="1">
        <f t="array" ref="A63">_xlfn.IFS(C63="it ITA", "Serie A", C63="eng ENG", "Premier League", C63="de GER", "Bundesliga", C63="es ESP", "La Liga", C63="fr FRA", "Ligue 1")</f>
        <v>Serie A</v>
      </c>
      <c r="B63" t="s">
        <v>121</v>
      </c>
      <c r="C63" t="s">
        <v>147</v>
      </c>
      <c r="D63">
        <v>13</v>
      </c>
      <c r="E63">
        <v>34</v>
      </c>
      <c r="F63">
        <v>9</v>
      </c>
      <c r="G63">
        <v>13</v>
      </c>
      <c r="H63">
        <v>12</v>
      </c>
      <c r="I63">
        <v>43</v>
      </c>
      <c r="J63">
        <v>52</v>
      </c>
      <c r="K63">
        <v>-9</v>
      </c>
      <c r="L63">
        <v>40</v>
      </c>
      <c r="M63">
        <v>1.18</v>
      </c>
      <c r="O63" t="s">
        <v>448</v>
      </c>
      <c r="P63" t="s">
        <v>449</v>
      </c>
    </row>
    <row r="64" spans="1:16" x14ac:dyDescent="0.2">
      <c r="A64" t="str" cm="1">
        <f t="array" ref="A64">_xlfn.IFS(C64="it ITA", "Serie A", C64="eng ENG", "Premier League", C64="de GER", "Bundesliga", C64="es ESP", "La Liga", C64="fr FRA", "Ligue 1")</f>
        <v>Serie A</v>
      </c>
      <c r="B64" t="s">
        <v>60</v>
      </c>
      <c r="C64" t="s">
        <v>147</v>
      </c>
      <c r="D64">
        <v>14</v>
      </c>
      <c r="E64">
        <v>34</v>
      </c>
      <c r="F64">
        <v>11</v>
      </c>
      <c r="G64">
        <v>7</v>
      </c>
      <c r="H64">
        <v>16</v>
      </c>
      <c r="I64">
        <v>41</v>
      </c>
      <c r="J64">
        <v>52</v>
      </c>
      <c r="K64">
        <v>-11</v>
      </c>
      <c r="L64">
        <v>40</v>
      </c>
      <c r="M64">
        <v>1.18</v>
      </c>
      <c r="O64" t="s">
        <v>450</v>
      </c>
      <c r="P64" t="s">
        <v>171</v>
      </c>
    </row>
    <row r="65" spans="1:16" x14ac:dyDescent="0.2">
      <c r="A65" t="str" cm="1">
        <f t="array" ref="A65">_xlfn.IFS(C65="it ITA", "Serie A", C65="eng ENG", "Premier League", C65="de GER", "Bundesliga", C65="es ESP", "La Liga", C65="fr FRA", "Ligue 1")</f>
        <v>Premier League</v>
      </c>
      <c r="B65" t="s">
        <v>515</v>
      </c>
      <c r="C65" t="s">
        <v>150</v>
      </c>
      <c r="D65">
        <v>12</v>
      </c>
      <c r="E65">
        <v>38</v>
      </c>
      <c r="F65">
        <v>12</v>
      </c>
      <c r="G65">
        <v>9</v>
      </c>
      <c r="H65">
        <v>17</v>
      </c>
      <c r="I65">
        <v>35</v>
      </c>
      <c r="J65">
        <v>47</v>
      </c>
      <c r="K65">
        <v>-12</v>
      </c>
      <c r="L65">
        <v>45</v>
      </c>
      <c r="M65">
        <v>1.18</v>
      </c>
      <c r="N65" s="1">
        <v>28461</v>
      </c>
      <c r="O65" t="s">
        <v>451</v>
      </c>
      <c r="P65" t="s">
        <v>452</v>
      </c>
    </row>
    <row r="66" spans="1:16" x14ac:dyDescent="0.2">
      <c r="A66" t="str" cm="1">
        <f t="array" ref="A66">_xlfn.IFS(C66="it ITA", "Serie A", C66="eng ENG", "Premier League", C66="de GER", "Bundesliga", C66="es ESP", "La Liga", C66="fr FRA", "Ligue 1")</f>
        <v>Premier League</v>
      </c>
      <c r="B66" t="s">
        <v>516</v>
      </c>
      <c r="C66" t="s">
        <v>150</v>
      </c>
      <c r="D66">
        <v>13</v>
      </c>
      <c r="E66">
        <v>38</v>
      </c>
      <c r="F66">
        <v>10</v>
      </c>
      <c r="G66">
        <v>14</v>
      </c>
      <c r="H66">
        <v>14</v>
      </c>
      <c r="I66">
        <v>36</v>
      </c>
      <c r="J66">
        <v>44</v>
      </c>
      <c r="K66">
        <v>-8</v>
      </c>
      <c r="L66">
        <v>44</v>
      </c>
      <c r="M66">
        <v>1.1599999999999999</v>
      </c>
      <c r="N66" s="1">
        <v>19343</v>
      </c>
      <c r="O66" t="s">
        <v>453</v>
      </c>
      <c r="P66" t="s">
        <v>454</v>
      </c>
    </row>
    <row r="67" spans="1:16" x14ac:dyDescent="0.2">
      <c r="A67" t="str" cm="1">
        <f t="array" ref="A67">_xlfn.IFS(C67="it ITA", "Serie A", C67="eng ENG", "Premier League", C67="de GER", "Bundesliga", C67="es ESP", "La Liga", C67="fr FRA", "Ligue 1")</f>
        <v>Premier League</v>
      </c>
      <c r="B67" t="s">
        <v>517</v>
      </c>
      <c r="C67" t="s">
        <v>150</v>
      </c>
      <c r="D67">
        <v>14</v>
      </c>
      <c r="E67">
        <v>38</v>
      </c>
      <c r="F67">
        <v>10</v>
      </c>
      <c r="G67">
        <v>14</v>
      </c>
      <c r="H67">
        <v>14</v>
      </c>
      <c r="I67">
        <v>38</v>
      </c>
      <c r="J67">
        <v>49</v>
      </c>
      <c r="K67">
        <v>-11</v>
      </c>
      <c r="L67">
        <v>44</v>
      </c>
      <c r="M67">
        <v>1.1599999999999999</v>
      </c>
      <c r="N67" s="1">
        <v>24165</v>
      </c>
      <c r="O67" t="s">
        <v>455</v>
      </c>
      <c r="P67" t="s">
        <v>456</v>
      </c>
    </row>
    <row r="68" spans="1:16" x14ac:dyDescent="0.2">
      <c r="A68" t="str" cm="1">
        <f t="array" ref="A68">_xlfn.IFS(C68="it ITA", "Serie A", C68="eng ENG", "Premier League", C68="de GER", "Bundesliga", C68="es ESP", "La Liga", C68="fr FRA", "Ligue 1")</f>
        <v>Ligue 1</v>
      </c>
      <c r="B68" t="s">
        <v>518</v>
      </c>
      <c r="C68" t="s">
        <v>157</v>
      </c>
      <c r="D68">
        <v>14</v>
      </c>
      <c r="E68">
        <v>34</v>
      </c>
      <c r="F68">
        <v>8</v>
      </c>
      <c r="G68">
        <v>15</v>
      </c>
      <c r="H68">
        <v>11</v>
      </c>
      <c r="I68">
        <v>35</v>
      </c>
      <c r="J68">
        <v>39</v>
      </c>
      <c r="K68">
        <v>-4</v>
      </c>
      <c r="L68">
        <v>39</v>
      </c>
      <c r="M68">
        <v>1.1499999999999999</v>
      </c>
      <c r="O68" t="s">
        <v>457</v>
      </c>
      <c r="P68" t="s">
        <v>458</v>
      </c>
    </row>
    <row r="69" spans="1:16" x14ac:dyDescent="0.2">
      <c r="A69" t="str" cm="1">
        <f t="array" ref="A69">_xlfn.IFS(C69="it ITA", "Serie A", C69="eng ENG", "Premier League", C69="de GER", "Bundesliga", C69="es ESP", "La Liga", C69="fr FRA", "Ligue 1")</f>
        <v>Ligue 1</v>
      </c>
      <c r="B69" t="s">
        <v>90</v>
      </c>
      <c r="C69" t="s">
        <v>157</v>
      </c>
      <c r="D69">
        <v>15</v>
      </c>
      <c r="E69">
        <v>34</v>
      </c>
      <c r="F69">
        <v>9</v>
      </c>
      <c r="G69">
        <v>12</v>
      </c>
      <c r="H69">
        <v>13</v>
      </c>
      <c r="I69">
        <v>36</v>
      </c>
      <c r="J69">
        <v>41</v>
      </c>
      <c r="K69">
        <v>-5</v>
      </c>
      <c r="L69">
        <v>39</v>
      </c>
      <c r="M69">
        <v>1.1499999999999999</v>
      </c>
      <c r="O69" t="s">
        <v>459</v>
      </c>
      <c r="P69" t="s">
        <v>460</v>
      </c>
    </row>
    <row r="70" spans="1:16" x14ac:dyDescent="0.2">
      <c r="A70" t="str" cm="1">
        <f t="array" ref="A70">_xlfn.IFS(C70="it ITA", "Serie A", C70="eng ENG", "Premier League", C70="de GER", "Bundesliga", C70="es ESP", "La Liga", C70="fr FRA", "Ligue 1")</f>
        <v>Serie A</v>
      </c>
      <c r="B70" t="s">
        <v>519</v>
      </c>
      <c r="C70" t="s">
        <v>147</v>
      </c>
      <c r="D70">
        <v>15</v>
      </c>
      <c r="E70">
        <v>34</v>
      </c>
      <c r="F70">
        <v>11</v>
      </c>
      <c r="G70">
        <v>6</v>
      </c>
      <c r="H70">
        <v>17</v>
      </c>
      <c r="I70">
        <v>41</v>
      </c>
      <c r="J70">
        <v>53</v>
      </c>
      <c r="K70">
        <v>-12</v>
      </c>
      <c r="L70">
        <v>39</v>
      </c>
      <c r="M70">
        <v>1.1499999999999999</v>
      </c>
      <c r="O70" t="s">
        <v>461</v>
      </c>
      <c r="P70" t="s">
        <v>237</v>
      </c>
    </row>
    <row r="71" spans="1:16" x14ac:dyDescent="0.2">
      <c r="A71" t="str" cm="1">
        <f t="array" ref="A71">_xlfn.IFS(C71="it ITA", "Serie A", C71="eng ENG", "Premier League", C71="de GER", "Bundesliga", C71="es ESP", "La Liga", C71="fr FRA", "Ligue 1")</f>
        <v>Bundesliga</v>
      </c>
      <c r="B71" t="s">
        <v>353</v>
      </c>
      <c r="C71" t="s">
        <v>160</v>
      </c>
      <c r="D71">
        <v>12</v>
      </c>
      <c r="E71">
        <v>34</v>
      </c>
      <c r="F71">
        <v>9</v>
      </c>
      <c r="G71">
        <v>12</v>
      </c>
      <c r="H71">
        <v>13</v>
      </c>
      <c r="I71">
        <v>41</v>
      </c>
      <c r="J71">
        <v>53</v>
      </c>
      <c r="K71">
        <v>-12</v>
      </c>
      <c r="L71">
        <v>39</v>
      </c>
      <c r="M71">
        <v>1.1499999999999999</v>
      </c>
      <c r="O71" t="s">
        <v>462</v>
      </c>
      <c r="P71" t="s">
        <v>463</v>
      </c>
    </row>
    <row r="72" spans="1:16" x14ac:dyDescent="0.2">
      <c r="A72" t="str" cm="1">
        <f t="array" ref="A72">_xlfn.IFS(C72="it ITA", "Serie A", C72="eng ENG", "Premier League", C72="de GER", "Bundesliga", C72="es ESP", "La Liga", C72="fr FRA", "Ligue 1")</f>
        <v>La Liga</v>
      </c>
      <c r="B72" t="s">
        <v>520</v>
      </c>
      <c r="C72" t="s">
        <v>165</v>
      </c>
      <c r="D72">
        <v>15</v>
      </c>
      <c r="E72">
        <v>38</v>
      </c>
      <c r="F72">
        <v>11</v>
      </c>
      <c r="G72">
        <v>10</v>
      </c>
      <c r="H72">
        <v>17</v>
      </c>
      <c r="I72">
        <v>46</v>
      </c>
      <c r="J72">
        <v>55</v>
      </c>
      <c r="K72">
        <v>-9</v>
      </c>
      <c r="L72">
        <v>43</v>
      </c>
      <c r="M72">
        <v>1.1299999999999999</v>
      </c>
      <c r="O72" t="s">
        <v>464</v>
      </c>
      <c r="P72" t="s">
        <v>465</v>
      </c>
    </row>
    <row r="73" spans="1:16" x14ac:dyDescent="0.2">
      <c r="A73" t="str" cm="1">
        <f t="array" ref="A73">_xlfn.IFS(C73="it ITA", "Serie A", C73="eng ENG", "Premier League", C73="de GER", "Bundesliga", C73="es ESP", "La Liga", C73="fr FRA", "Ligue 1")</f>
        <v>Premier League</v>
      </c>
      <c r="B73" t="s">
        <v>6</v>
      </c>
      <c r="C73" t="s">
        <v>150</v>
      </c>
      <c r="D73">
        <v>15</v>
      </c>
      <c r="E73">
        <v>38</v>
      </c>
      <c r="F73">
        <v>11</v>
      </c>
      <c r="G73">
        <v>10</v>
      </c>
      <c r="H73">
        <v>17</v>
      </c>
      <c r="I73">
        <v>45</v>
      </c>
      <c r="J73">
        <v>57</v>
      </c>
      <c r="K73">
        <v>-12</v>
      </c>
      <c r="L73">
        <v>43</v>
      </c>
      <c r="M73">
        <v>1.1299999999999999</v>
      </c>
      <c r="N73" s="1">
        <v>33582</v>
      </c>
      <c r="O73" t="s">
        <v>466</v>
      </c>
      <c r="P73" t="s">
        <v>467</v>
      </c>
    </row>
    <row r="74" spans="1:16" x14ac:dyDescent="0.2">
      <c r="A74" t="str" cm="1">
        <f t="array" ref="A74">_xlfn.IFS(C74="it ITA", "Serie A", C74="eng ENG", "Premier League", C74="de GER", "Bundesliga", C74="es ESP", "La Liga", C74="fr FRA", "Ligue 1")</f>
        <v>La Liga</v>
      </c>
      <c r="B74" t="s">
        <v>114</v>
      </c>
      <c r="C74" t="s">
        <v>165</v>
      </c>
      <c r="D74">
        <v>16</v>
      </c>
      <c r="E74">
        <v>38</v>
      </c>
      <c r="F74">
        <v>11</v>
      </c>
      <c r="G74">
        <v>10</v>
      </c>
      <c r="H74">
        <v>17</v>
      </c>
      <c r="I74">
        <v>40</v>
      </c>
      <c r="J74">
        <v>52</v>
      </c>
      <c r="K74">
        <v>-12</v>
      </c>
      <c r="L74">
        <v>43</v>
      </c>
      <c r="M74">
        <v>1.1299999999999999</v>
      </c>
      <c r="O74" t="s">
        <v>468</v>
      </c>
      <c r="P74" t="s">
        <v>469</v>
      </c>
    </row>
    <row r="75" spans="1:16" x14ac:dyDescent="0.2">
      <c r="A75" t="str" cm="1">
        <f t="array" ref="A75">_xlfn.IFS(C75="it ITA", "Serie A", C75="eng ENG", "Premier League", C75="de GER", "Bundesliga", C75="es ESP", "La Liga", C75="fr FRA", "Ligue 1")</f>
        <v>La Liga</v>
      </c>
      <c r="B75" t="s">
        <v>38</v>
      </c>
      <c r="C75" t="s">
        <v>165</v>
      </c>
      <c r="D75">
        <v>17</v>
      </c>
      <c r="E75">
        <v>38</v>
      </c>
      <c r="F75">
        <v>10</v>
      </c>
      <c r="G75">
        <v>12</v>
      </c>
      <c r="H75">
        <v>16</v>
      </c>
      <c r="I75">
        <v>36</v>
      </c>
      <c r="J75">
        <v>49</v>
      </c>
      <c r="K75">
        <v>-13</v>
      </c>
      <c r="L75">
        <v>42</v>
      </c>
      <c r="M75">
        <v>1.1100000000000001</v>
      </c>
      <c r="O75" t="s">
        <v>470</v>
      </c>
      <c r="P75" t="s">
        <v>471</v>
      </c>
    </row>
    <row r="76" spans="1:16" x14ac:dyDescent="0.2">
      <c r="A76" t="str" cm="1">
        <f t="array" ref="A76">_xlfn.IFS(C76="it ITA", "Serie A", C76="eng ENG", "Premier League", C76="de GER", "Bundesliga", C76="es ESP", "La Liga", C76="fr FRA", "Ligue 1")</f>
        <v>La Liga</v>
      </c>
      <c r="B76" t="s">
        <v>521</v>
      </c>
      <c r="C76" t="s">
        <v>165</v>
      </c>
      <c r="D76">
        <v>18</v>
      </c>
      <c r="E76">
        <v>38</v>
      </c>
      <c r="F76">
        <v>9</v>
      </c>
      <c r="G76">
        <v>13</v>
      </c>
      <c r="H76">
        <v>16</v>
      </c>
      <c r="I76">
        <v>40</v>
      </c>
      <c r="J76">
        <v>50</v>
      </c>
      <c r="K76">
        <v>-10</v>
      </c>
      <c r="L76">
        <v>40</v>
      </c>
      <c r="M76">
        <v>1.05</v>
      </c>
      <c r="O76" t="s">
        <v>472</v>
      </c>
      <c r="P76" t="s">
        <v>473</v>
      </c>
    </row>
    <row r="77" spans="1:16" x14ac:dyDescent="0.2">
      <c r="A77" t="str" cm="1">
        <f t="array" ref="A77">_xlfn.IFS(C77="it ITA", "Serie A", C77="eng ENG", "Premier League", C77="de GER", "Bundesliga", C77="es ESP", "La Liga", C77="fr FRA", "Ligue 1")</f>
        <v>Premier League</v>
      </c>
      <c r="B77" t="s">
        <v>356</v>
      </c>
      <c r="C77" t="s">
        <v>150</v>
      </c>
      <c r="D77">
        <v>16</v>
      </c>
      <c r="E77">
        <v>38</v>
      </c>
      <c r="F77">
        <v>9</v>
      </c>
      <c r="G77">
        <v>13</v>
      </c>
      <c r="H77">
        <v>16</v>
      </c>
      <c r="I77">
        <v>44</v>
      </c>
      <c r="J77">
        <v>62</v>
      </c>
      <c r="K77">
        <v>-18</v>
      </c>
      <c r="L77">
        <v>40</v>
      </c>
      <c r="M77">
        <v>1.05</v>
      </c>
      <c r="N77" s="1">
        <v>25098</v>
      </c>
      <c r="O77" t="s">
        <v>474</v>
      </c>
      <c r="P77" t="s">
        <v>475</v>
      </c>
    </row>
    <row r="78" spans="1:16" x14ac:dyDescent="0.2">
      <c r="A78" t="str" cm="1">
        <f t="array" ref="A78">_xlfn.IFS(C78="it ITA", "Serie A", C78="eng ENG", "Premier League", C78="de GER", "Bundesliga", C78="es ESP", "La Liga", C78="fr FRA", "Ligue 1")</f>
        <v>Premier League</v>
      </c>
      <c r="B78" t="s">
        <v>522</v>
      </c>
      <c r="C78" t="s">
        <v>150</v>
      </c>
      <c r="D78">
        <v>17</v>
      </c>
      <c r="E78">
        <v>38</v>
      </c>
      <c r="F78">
        <v>10</v>
      </c>
      <c r="G78">
        <v>10</v>
      </c>
      <c r="H78">
        <v>18</v>
      </c>
      <c r="I78">
        <v>29</v>
      </c>
      <c r="J78">
        <v>51</v>
      </c>
      <c r="K78">
        <v>-22</v>
      </c>
      <c r="L78">
        <v>40</v>
      </c>
      <c r="M78">
        <v>1.05</v>
      </c>
      <c r="N78" s="1">
        <v>46744</v>
      </c>
      <c r="O78" t="s">
        <v>476</v>
      </c>
      <c r="P78" t="s">
        <v>477</v>
      </c>
    </row>
    <row r="79" spans="1:16" x14ac:dyDescent="0.2">
      <c r="A79" t="str" cm="1">
        <f t="array" ref="A79">_xlfn.IFS(C79="it ITA", "Serie A", C79="eng ENG", "Premier League", C79="de GER", "Bundesliga", C79="es ESP", "La Liga", C79="fr FRA", "Ligue 1")</f>
        <v>Ligue 1</v>
      </c>
      <c r="B79" t="s">
        <v>130</v>
      </c>
      <c r="C79" t="s">
        <v>157</v>
      </c>
      <c r="D79">
        <v>16</v>
      </c>
      <c r="E79">
        <v>34</v>
      </c>
      <c r="F79">
        <v>9</v>
      </c>
      <c r="G79">
        <v>8</v>
      </c>
      <c r="H79">
        <v>17</v>
      </c>
      <c r="I79">
        <v>34</v>
      </c>
      <c r="J79">
        <v>57</v>
      </c>
      <c r="K79">
        <v>-23</v>
      </c>
      <c r="L79">
        <v>35</v>
      </c>
      <c r="M79">
        <v>1.03</v>
      </c>
      <c r="O79" t="s">
        <v>478</v>
      </c>
      <c r="P79" t="s">
        <v>479</v>
      </c>
    </row>
    <row r="80" spans="1:16" x14ac:dyDescent="0.2">
      <c r="A80" t="str" cm="1">
        <f t="array" ref="A80">_xlfn.IFS(C80="it ITA", "Serie A", C80="eng ENG", "Premier League", C80="de GER", "Bundesliga", C80="es ESP", "La Liga", C80="fr FRA", "Ligue 1")</f>
        <v>Bundesliga</v>
      </c>
      <c r="B80" t="s">
        <v>523</v>
      </c>
      <c r="C80" t="s">
        <v>160</v>
      </c>
      <c r="D80">
        <v>13</v>
      </c>
      <c r="E80">
        <v>34</v>
      </c>
      <c r="F80">
        <v>9</v>
      </c>
      <c r="G80">
        <v>8</v>
      </c>
      <c r="H80">
        <v>17</v>
      </c>
      <c r="I80">
        <v>36</v>
      </c>
      <c r="J80">
        <v>60</v>
      </c>
      <c r="K80">
        <v>-24</v>
      </c>
      <c r="L80">
        <v>35</v>
      </c>
      <c r="M80">
        <v>1.03</v>
      </c>
      <c r="O80" t="s">
        <v>480</v>
      </c>
      <c r="P80" t="s">
        <v>481</v>
      </c>
    </row>
    <row r="81" spans="1:16" x14ac:dyDescent="0.2">
      <c r="A81" t="str" cm="1">
        <f t="array" ref="A81">_xlfn.IFS(C81="it ITA", "Serie A", C81="eng ENG", "Premier League", C81="de GER", "Bundesliga", C81="es ESP", "La Liga", C81="fr FRA", "Ligue 1")</f>
        <v>Bundesliga</v>
      </c>
      <c r="B81" t="s">
        <v>127</v>
      </c>
      <c r="C81" t="s">
        <v>160</v>
      </c>
      <c r="D81">
        <v>14</v>
      </c>
      <c r="E81">
        <v>34</v>
      </c>
      <c r="F81">
        <v>9</v>
      </c>
      <c r="G81">
        <v>7</v>
      </c>
      <c r="H81">
        <v>18</v>
      </c>
      <c r="I81">
        <v>35</v>
      </c>
      <c r="J81">
        <v>54</v>
      </c>
      <c r="K81">
        <v>-19</v>
      </c>
      <c r="L81">
        <v>34</v>
      </c>
      <c r="M81">
        <v>1</v>
      </c>
      <c r="O81" t="s">
        <v>482</v>
      </c>
      <c r="P81" t="s">
        <v>483</v>
      </c>
    </row>
    <row r="82" spans="1:16" x14ac:dyDescent="0.2">
      <c r="A82" t="str" cm="1">
        <f t="array" ref="A82">_xlfn.IFS(C82="it ITA", "Serie A", C82="eng ENG", "Premier League", C82="de GER", "Bundesliga", C82="es ESP", "La Liga", C82="fr FRA", "Ligue 1")</f>
        <v>Bundesliga</v>
      </c>
      <c r="B82" t="s">
        <v>524</v>
      </c>
      <c r="C82" t="s">
        <v>160</v>
      </c>
      <c r="D82">
        <v>15</v>
      </c>
      <c r="E82">
        <v>34</v>
      </c>
      <c r="F82">
        <v>10</v>
      </c>
      <c r="G82">
        <v>4</v>
      </c>
      <c r="H82">
        <v>20</v>
      </c>
      <c r="I82">
        <v>34</v>
      </c>
      <c r="J82">
        <v>57</v>
      </c>
      <c r="K82">
        <v>-23</v>
      </c>
      <c r="L82">
        <v>34</v>
      </c>
      <c r="M82">
        <v>1</v>
      </c>
      <c r="O82" t="s">
        <v>484</v>
      </c>
      <c r="P82" t="s">
        <v>485</v>
      </c>
    </row>
    <row r="83" spans="1:16" x14ac:dyDescent="0.2">
      <c r="A83" t="str" cm="1">
        <f t="array" ref="A83">_xlfn.IFS(C83="it ITA", "Serie A", C83="eng ENG", "Premier League", C83="de GER", "Bundesliga", C83="es ESP", "La Liga", C83="fr FRA", "Ligue 1")</f>
        <v>La Liga</v>
      </c>
      <c r="B83" t="s">
        <v>36</v>
      </c>
      <c r="C83" t="s">
        <v>165</v>
      </c>
      <c r="D83">
        <v>19</v>
      </c>
      <c r="E83">
        <v>38</v>
      </c>
      <c r="F83">
        <v>10</v>
      </c>
      <c r="G83">
        <v>8</v>
      </c>
      <c r="H83">
        <v>20</v>
      </c>
      <c r="I83">
        <v>32</v>
      </c>
      <c r="J83">
        <v>58</v>
      </c>
      <c r="K83">
        <v>-26</v>
      </c>
      <c r="L83">
        <v>38</v>
      </c>
      <c r="M83">
        <v>1</v>
      </c>
      <c r="O83" t="s">
        <v>486</v>
      </c>
      <c r="P83" t="s">
        <v>487</v>
      </c>
    </row>
    <row r="84" spans="1:16" x14ac:dyDescent="0.2">
      <c r="A84" t="str" cm="1">
        <f t="array" ref="A84">_xlfn.IFS(C84="it ITA", "Serie A", C84="eng ENG", "Premier League", C84="de GER", "Bundesliga", C84="es ESP", "La Liga", C84="fr FRA", "Ligue 1")</f>
        <v>Ligue 1</v>
      </c>
      <c r="B84" t="s">
        <v>93</v>
      </c>
      <c r="C84" t="s">
        <v>157</v>
      </c>
      <c r="D84">
        <v>17</v>
      </c>
      <c r="E84">
        <v>34</v>
      </c>
      <c r="F84">
        <v>9</v>
      </c>
      <c r="G84">
        <v>6</v>
      </c>
      <c r="H84">
        <v>19</v>
      </c>
      <c r="I84">
        <v>31</v>
      </c>
      <c r="J84">
        <v>47</v>
      </c>
      <c r="K84">
        <v>-16</v>
      </c>
      <c r="L84">
        <v>33</v>
      </c>
      <c r="M84">
        <v>0.97</v>
      </c>
      <c r="O84" t="s">
        <v>488</v>
      </c>
      <c r="P84" t="s">
        <v>251</v>
      </c>
    </row>
    <row r="85" spans="1:16" x14ac:dyDescent="0.2">
      <c r="A85" t="str" cm="1">
        <f t="array" ref="A85">_xlfn.IFS(C85="it ITA", "Serie A", C85="eng ENG", "Premier League", C85="de GER", "Bundesliga", C85="es ESP", "La Liga", C85="fr FRA", "Ligue 1")</f>
        <v>La Liga</v>
      </c>
      <c r="B85" t="s">
        <v>118</v>
      </c>
      <c r="C85" t="s">
        <v>165</v>
      </c>
      <c r="D85">
        <v>20</v>
      </c>
      <c r="E85">
        <v>38</v>
      </c>
      <c r="F85">
        <v>9</v>
      </c>
      <c r="G85">
        <v>10</v>
      </c>
      <c r="H85">
        <v>19</v>
      </c>
      <c r="I85">
        <v>35</v>
      </c>
      <c r="J85">
        <v>54</v>
      </c>
      <c r="K85">
        <v>-19</v>
      </c>
      <c r="L85">
        <v>37</v>
      </c>
      <c r="M85">
        <v>0.97</v>
      </c>
      <c r="O85" t="s">
        <v>489</v>
      </c>
      <c r="P85" t="s">
        <v>490</v>
      </c>
    </row>
    <row r="86" spans="1:16" x14ac:dyDescent="0.2">
      <c r="A86" t="str" cm="1">
        <f t="array" ref="A86">_xlfn.IFS(C86="it ITA", "Serie A", C86="eng ENG", "Premier League", C86="de GER", "Bundesliga", C86="es ESP", "La Liga", C86="fr FRA", "Ligue 1")</f>
        <v>Premier League</v>
      </c>
      <c r="B86" t="s">
        <v>7</v>
      </c>
      <c r="C86" t="s">
        <v>150</v>
      </c>
      <c r="D86">
        <v>18</v>
      </c>
      <c r="E86">
        <v>38</v>
      </c>
      <c r="F86">
        <v>9</v>
      </c>
      <c r="G86">
        <v>9</v>
      </c>
      <c r="H86">
        <v>20</v>
      </c>
      <c r="I86">
        <v>41</v>
      </c>
      <c r="J86">
        <v>64</v>
      </c>
      <c r="K86">
        <v>-23</v>
      </c>
      <c r="L86">
        <v>36</v>
      </c>
      <c r="M86">
        <v>0.95</v>
      </c>
      <c r="N86" s="1">
        <v>24420</v>
      </c>
      <c r="O86" t="s">
        <v>491</v>
      </c>
      <c r="P86" t="s">
        <v>301</v>
      </c>
    </row>
    <row r="87" spans="1:16" x14ac:dyDescent="0.2">
      <c r="A87" t="str" cm="1">
        <f t="array" ref="A87">_xlfn.IFS(C87="it ITA", "Serie A", C87="eng ENG", "Premier League", C87="de GER", "Bundesliga", C87="es ESP", "La Liga", C87="fr FRA", "Ligue 1")</f>
        <v>Ligue 1</v>
      </c>
      <c r="B87" t="s">
        <v>525</v>
      </c>
      <c r="C87" t="s">
        <v>157</v>
      </c>
      <c r="D87">
        <v>18</v>
      </c>
      <c r="E87">
        <v>34</v>
      </c>
      <c r="F87">
        <v>7</v>
      </c>
      <c r="G87">
        <v>10</v>
      </c>
      <c r="H87">
        <v>17</v>
      </c>
      <c r="I87">
        <v>43</v>
      </c>
      <c r="J87">
        <v>64</v>
      </c>
      <c r="K87">
        <v>-21</v>
      </c>
      <c r="L87">
        <v>31</v>
      </c>
      <c r="M87">
        <v>0.91</v>
      </c>
      <c r="O87" t="s">
        <v>492</v>
      </c>
      <c r="P87" t="s">
        <v>493</v>
      </c>
    </row>
    <row r="88" spans="1:16" x14ac:dyDescent="0.2">
      <c r="A88" t="str" cm="1">
        <f t="array" ref="A88">_xlfn.IFS(C88="it ITA", "Serie A", C88="eng ENG", "Premier League", C88="de GER", "Bundesliga", C88="es ESP", "La Liga", C88="fr FRA", "Ligue 1")</f>
        <v>Bundesliga</v>
      </c>
      <c r="B88" t="s">
        <v>70</v>
      </c>
      <c r="C88" t="s">
        <v>160</v>
      </c>
      <c r="D88">
        <v>16</v>
      </c>
      <c r="E88">
        <v>34</v>
      </c>
      <c r="F88">
        <v>7</v>
      </c>
      <c r="G88">
        <v>9</v>
      </c>
      <c r="H88">
        <v>18</v>
      </c>
      <c r="I88">
        <v>37</v>
      </c>
      <c r="J88">
        <v>64</v>
      </c>
      <c r="K88">
        <v>-27</v>
      </c>
      <c r="L88">
        <v>30</v>
      </c>
      <c r="M88">
        <v>0.88</v>
      </c>
      <c r="O88" t="s">
        <v>494</v>
      </c>
      <c r="P88" t="s">
        <v>495</v>
      </c>
    </row>
    <row r="89" spans="1:16" x14ac:dyDescent="0.2">
      <c r="A89" t="str" cm="1">
        <f t="array" ref="A89">_xlfn.IFS(C89="it ITA", "Serie A", C89="eng ENG", "Premier League", C89="de GER", "Bundesliga", C89="es ESP", "La Liga", C89="fr FRA", "Ligue 1")</f>
        <v>Bundesliga</v>
      </c>
      <c r="B89" t="s">
        <v>355</v>
      </c>
      <c r="C89" t="s">
        <v>160</v>
      </c>
      <c r="D89">
        <v>17</v>
      </c>
      <c r="E89">
        <v>34</v>
      </c>
      <c r="F89">
        <v>7</v>
      </c>
      <c r="G89">
        <v>8</v>
      </c>
      <c r="H89">
        <v>19</v>
      </c>
      <c r="I89">
        <v>26</v>
      </c>
      <c r="J89">
        <v>61</v>
      </c>
      <c r="K89">
        <v>-35</v>
      </c>
      <c r="L89">
        <v>29</v>
      </c>
      <c r="M89">
        <v>0.85</v>
      </c>
      <c r="O89" t="s">
        <v>496</v>
      </c>
      <c r="P89" t="s">
        <v>497</v>
      </c>
    </row>
    <row r="90" spans="1:16" x14ac:dyDescent="0.2">
      <c r="A90" t="str" cm="1">
        <f t="array" ref="A90">_xlfn.IFS(C90="it ITA", "Serie A", C90="eng ENG", "Premier League", C90="de GER", "Bundesliga", C90="es ESP", "La Liga", C90="fr FRA", "Ligue 1")</f>
        <v>Serie A</v>
      </c>
      <c r="B90" t="s">
        <v>51</v>
      </c>
      <c r="C90" t="s">
        <v>147</v>
      </c>
      <c r="D90">
        <v>16</v>
      </c>
      <c r="E90">
        <v>34</v>
      </c>
      <c r="F90">
        <v>6</v>
      </c>
      <c r="G90">
        <v>10</v>
      </c>
      <c r="H90">
        <v>18</v>
      </c>
      <c r="I90">
        <v>36</v>
      </c>
      <c r="J90">
        <v>56</v>
      </c>
      <c r="K90">
        <v>-20</v>
      </c>
      <c r="L90">
        <v>28</v>
      </c>
      <c r="M90">
        <v>0.82</v>
      </c>
      <c r="O90" t="s">
        <v>498</v>
      </c>
      <c r="P90" t="s">
        <v>499</v>
      </c>
    </row>
    <row r="91" spans="1:16" x14ac:dyDescent="0.2">
      <c r="A91" t="str" cm="1">
        <f t="array" ref="A91">_xlfn.IFS(C91="it ITA", "Serie A", C91="eng ENG", "Premier League", C91="de GER", "Bundesliga", C91="es ESP", "La Liga", C91="fr FRA", "Ligue 1")</f>
        <v>Premier League</v>
      </c>
      <c r="B91" t="s">
        <v>107</v>
      </c>
      <c r="C91" t="s">
        <v>150</v>
      </c>
      <c r="D91">
        <v>19</v>
      </c>
      <c r="E91">
        <v>38</v>
      </c>
      <c r="F91">
        <v>8</v>
      </c>
      <c r="G91">
        <v>6</v>
      </c>
      <c r="H91">
        <v>24</v>
      </c>
      <c r="I91">
        <v>33</v>
      </c>
      <c r="J91">
        <v>63</v>
      </c>
      <c r="K91">
        <v>-30</v>
      </c>
      <c r="L91">
        <v>30</v>
      </c>
      <c r="M91">
        <v>0.79</v>
      </c>
      <c r="N91" s="1">
        <v>29816</v>
      </c>
      <c r="O91" t="s">
        <v>500</v>
      </c>
      <c r="P91" t="s">
        <v>501</v>
      </c>
    </row>
    <row r="92" spans="1:16" x14ac:dyDescent="0.2">
      <c r="A92" t="str" cm="1">
        <f t="array" ref="A92">_xlfn.IFS(C92="it ITA", "Serie A", C92="eng ENG", "Premier League", C92="de GER", "Bundesliga", C92="es ESP", "La Liga", C92="fr FRA", "Ligue 1")</f>
        <v>Premier League</v>
      </c>
      <c r="B92" t="s">
        <v>108</v>
      </c>
      <c r="C92" t="s">
        <v>150</v>
      </c>
      <c r="D92">
        <v>20</v>
      </c>
      <c r="E92">
        <v>38</v>
      </c>
      <c r="F92">
        <v>5</v>
      </c>
      <c r="G92">
        <v>13</v>
      </c>
      <c r="H92">
        <v>20</v>
      </c>
      <c r="I92">
        <v>30</v>
      </c>
      <c r="J92">
        <v>64</v>
      </c>
      <c r="K92">
        <v>-34</v>
      </c>
      <c r="L92">
        <v>28</v>
      </c>
      <c r="M92">
        <v>0.74</v>
      </c>
      <c r="N92" s="1">
        <v>19913</v>
      </c>
      <c r="O92" t="s">
        <v>502</v>
      </c>
      <c r="P92" t="s">
        <v>283</v>
      </c>
    </row>
    <row r="93" spans="1:16" x14ac:dyDescent="0.2">
      <c r="A93" t="str" cm="1">
        <f t="array" ref="A93">_xlfn.IFS(C93="it ITA", "Serie A", C93="eng ENG", "Premier League", C93="de GER", "Bundesliga", C93="es ESP", "La Liga", C93="fr FRA", "Ligue 1")</f>
        <v>Bundesliga</v>
      </c>
      <c r="B93" t="s">
        <v>526</v>
      </c>
      <c r="C93" t="s">
        <v>160</v>
      </c>
      <c r="D93">
        <v>18</v>
      </c>
      <c r="E93">
        <v>34</v>
      </c>
      <c r="F93">
        <v>4</v>
      </c>
      <c r="G93">
        <v>10</v>
      </c>
      <c r="H93">
        <v>20</v>
      </c>
      <c r="I93">
        <v>37</v>
      </c>
      <c r="J93">
        <v>70</v>
      </c>
      <c r="K93">
        <v>-33</v>
      </c>
      <c r="L93">
        <v>22</v>
      </c>
      <c r="M93">
        <v>0.65</v>
      </c>
      <c r="O93" t="s">
        <v>503</v>
      </c>
      <c r="P93" t="s">
        <v>504</v>
      </c>
    </row>
    <row r="94" spans="1:16" x14ac:dyDescent="0.2">
      <c r="A94" t="str" cm="1">
        <f t="array" ref="A94">_xlfn.IFS(C94="it ITA", "Serie A", C94="eng ENG", "Premier League", C94="de GER", "Bundesliga", C94="es ESP", "La Liga", C94="fr FRA", "Ligue 1")</f>
        <v>Serie A</v>
      </c>
      <c r="B94" t="s">
        <v>123</v>
      </c>
      <c r="C94" t="s">
        <v>147</v>
      </c>
      <c r="D94">
        <v>17</v>
      </c>
      <c r="E94">
        <v>34</v>
      </c>
      <c r="F94">
        <v>5</v>
      </c>
      <c r="G94">
        <v>7</v>
      </c>
      <c r="H94">
        <v>22</v>
      </c>
      <c r="I94">
        <v>29</v>
      </c>
      <c r="J94">
        <v>63</v>
      </c>
      <c r="K94">
        <v>-34</v>
      </c>
      <c r="L94">
        <v>22</v>
      </c>
      <c r="M94">
        <v>0.65</v>
      </c>
      <c r="O94" t="s">
        <v>505</v>
      </c>
      <c r="P94" t="s">
        <v>506</v>
      </c>
    </row>
    <row r="95" spans="1:16" x14ac:dyDescent="0.2">
      <c r="A95" t="str" cm="1">
        <f t="array" ref="A95">_xlfn.IFS(C95="it ITA", "Serie A", C95="eng ENG", "Premier League", C95="de GER", "Bundesliga", C95="es ESP", "La Liga", C95="fr FRA", "Ligue 1")</f>
        <v>Serie A</v>
      </c>
      <c r="B95" t="s">
        <v>527</v>
      </c>
      <c r="C95" t="s">
        <v>147</v>
      </c>
      <c r="D95">
        <v>18</v>
      </c>
      <c r="E95">
        <v>34</v>
      </c>
      <c r="F95">
        <v>3</v>
      </c>
      <c r="G95">
        <v>9</v>
      </c>
      <c r="H95">
        <v>22</v>
      </c>
      <c r="I95">
        <v>30</v>
      </c>
      <c r="J95">
        <v>61</v>
      </c>
      <c r="K95">
        <v>-31</v>
      </c>
      <c r="L95">
        <v>18</v>
      </c>
      <c r="M95">
        <v>0.53</v>
      </c>
      <c r="O95" t="s">
        <v>507</v>
      </c>
      <c r="P95" t="s">
        <v>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AB1A-3354-3840-BF2C-53EB38301F68}">
  <dimension ref="A1:P99"/>
  <sheetViews>
    <sheetView workbookViewId="0">
      <selection activeCell="A2" sqref="A2:A99"/>
    </sheetView>
  </sheetViews>
  <sheetFormatPr baseColWidth="10" defaultRowHeight="16" x14ac:dyDescent="0.2"/>
  <sheetData>
    <row r="1" spans="1:16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">
      <c r="A2" t="str" cm="1">
        <f t="array" ref="A2">_xlfn.IFS(C2="it ITA", "Serie A", C2="eng ENG", "Premier League", C2="de GER", "Bundesliga", C2="es ESP", "La Liga", C2="fr FRA", "Ligue 1")</f>
        <v>Premier League</v>
      </c>
      <c r="B2" t="s">
        <v>4</v>
      </c>
      <c r="C2" t="s">
        <v>150</v>
      </c>
      <c r="D2">
        <v>1</v>
      </c>
      <c r="E2">
        <v>38</v>
      </c>
      <c r="F2">
        <v>29</v>
      </c>
      <c r="G2">
        <v>4</v>
      </c>
      <c r="H2">
        <v>5</v>
      </c>
      <c r="I2">
        <v>72</v>
      </c>
      <c r="J2">
        <v>22</v>
      </c>
      <c r="K2">
        <v>50</v>
      </c>
      <c r="L2">
        <v>91</v>
      </c>
      <c r="M2">
        <v>2.39</v>
      </c>
      <c r="N2" s="1">
        <v>41859</v>
      </c>
      <c r="O2" t="s">
        <v>528</v>
      </c>
      <c r="P2" t="s">
        <v>529</v>
      </c>
    </row>
    <row r="3" spans="1:16" x14ac:dyDescent="0.2">
      <c r="A3" t="str" cm="1">
        <f t="array" ref="A3">_xlfn.IFS(C3="it ITA", "Serie A", C3="eng ENG", "Premier League", C3="de GER", "Bundesliga", C3="es ESP", "La Liga", C3="fr FRA", "Ligue 1")</f>
        <v>Serie A</v>
      </c>
      <c r="B3" t="s">
        <v>49</v>
      </c>
      <c r="C3" t="s">
        <v>147</v>
      </c>
      <c r="D3">
        <v>20</v>
      </c>
      <c r="E3">
        <v>38</v>
      </c>
      <c r="F3">
        <v>27</v>
      </c>
      <c r="G3">
        <v>10</v>
      </c>
      <c r="H3">
        <v>1</v>
      </c>
      <c r="I3">
        <v>71</v>
      </c>
      <c r="J3">
        <v>24</v>
      </c>
      <c r="K3">
        <v>47</v>
      </c>
      <c r="L3">
        <v>91</v>
      </c>
      <c r="M3">
        <v>2.39</v>
      </c>
      <c r="O3" t="s">
        <v>530</v>
      </c>
      <c r="P3" t="s">
        <v>185</v>
      </c>
    </row>
    <row r="4" spans="1:16" x14ac:dyDescent="0.2">
      <c r="A4" t="str" cm="1">
        <f t="array" ref="A4">_xlfn.IFS(C4="it ITA", "Serie A", C4="eng ENG", "Premier League", C4="de GER", "Bundesliga", C4="es ESP", "La Liga", C4="fr FRA", "Ligue 1")</f>
        <v>Ligue 1</v>
      </c>
      <c r="B4" t="s">
        <v>89</v>
      </c>
      <c r="C4" t="s">
        <v>157</v>
      </c>
      <c r="D4">
        <v>1</v>
      </c>
      <c r="E4">
        <v>38</v>
      </c>
      <c r="F4">
        <v>25</v>
      </c>
      <c r="G4">
        <v>9</v>
      </c>
      <c r="H4">
        <v>4</v>
      </c>
      <c r="I4">
        <v>73</v>
      </c>
      <c r="J4">
        <v>31</v>
      </c>
      <c r="K4">
        <v>42</v>
      </c>
      <c r="L4">
        <v>84</v>
      </c>
      <c r="M4">
        <v>2.21</v>
      </c>
      <c r="O4" t="s">
        <v>531</v>
      </c>
      <c r="P4" t="s">
        <v>205</v>
      </c>
    </row>
    <row r="5" spans="1:16" x14ac:dyDescent="0.2">
      <c r="A5" t="str" cm="1">
        <f t="array" ref="A5">_xlfn.IFS(C5="it ITA", "Serie A", C5="eng ENG", "Premier League", C5="de GER", "Bundesliga", C5="es ESP", "La Liga", C5="fr FRA", "Ligue 1")</f>
        <v>Bundesliga</v>
      </c>
      <c r="B5" t="s">
        <v>63</v>
      </c>
      <c r="C5" t="s">
        <v>160</v>
      </c>
      <c r="D5">
        <v>1</v>
      </c>
      <c r="E5">
        <v>34</v>
      </c>
      <c r="F5">
        <v>22</v>
      </c>
      <c r="G5">
        <v>9</v>
      </c>
      <c r="H5">
        <v>3</v>
      </c>
      <c r="I5">
        <v>67</v>
      </c>
      <c r="J5">
        <v>32</v>
      </c>
      <c r="K5">
        <v>35</v>
      </c>
      <c r="L5">
        <v>75</v>
      </c>
      <c r="M5">
        <v>2.21</v>
      </c>
      <c r="O5" t="s">
        <v>532</v>
      </c>
      <c r="P5" t="s">
        <v>169</v>
      </c>
    </row>
    <row r="6" spans="1:16" x14ac:dyDescent="0.2">
      <c r="A6" t="str" cm="1">
        <f t="array" ref="A6">_xlfn.IFS(C6="it ITA", "Serie A", C6="eng ENG", "Premier League", C6="de GER", "Bundesliga", C6="es ESP", "La Liga", C6="fr FRA", "Ligue 1")</f>
        <v>Premier League</v>
      </c>
      <c r="B6" t="s">
        <v>340</v>
      </c>
      <c r="C6" t="s">
        <v>150</v>
      </c>
      <c r="D6">
        <v>2</v>
      </c>
      <c r="E6">
        <v>38</v>
      </c>
      <c r="F6">
        <v>25</v>
      </c>
      <c r="G6">
        <v>8</v>
      </c>
      <c r="H6">
        <v>5</v>
      </c>
      <c r="I6">
        <v>72</v>
      </c>
      <c r="J6">
        <v>34</v>
      </c>
      <c r="K6">
        <v>38</v>
      </c>
      <c r="L6">
        <v>83</v>
      </c>
      <c r="M6">
        <v>2.1800000000000002</v>
      </c>
      <c r="N6" s="1">
        <v>68765</v>
      </c>
      <c r="O6" t="s">
        <v>533</v>
      </c>
      <c r="P6" t="s">
        <v>454</v>
      </c>
    </row>
    <row r="7" spans="1:16" x14ac:dyDescent="0.2">
      <c r="A7" t="str" cm="1">
        <f t="array" ref="A7">_xlfn.IFS(C7="it ITA", "Serie A", C7="eng ENG", "Premier League", C7="de GER", "Bundesliga", C7="es ESP", "La Liga", C7="fr FRA", "Ligue 1")</f>
        <v>La Liga</v>
      </c>
      <c r="B7" t="s">
        <v>23</v>
      </c>
      <c r="C7" t="s">
        <v>165</v>
      </c>
      <c r="D7">
        <v>1</v>
      </c>
      <c r="E7">
        <v>38</v>
      </c>
      <c r="F7">
        <v>25</v>
      </c>
      <c r="G7">
        <v>7</v>
      </c>
      <c r="H7">
        <v>6</v>
      </c>
      <c r="I7">
        <v>80</v>
      </c>
      <c r="J7">
        <v>35</v>
      </c>
      <c r="K7">
        <v>45</v>
      </c>
      <c r="L7">
        <v>82</v>
      </c>
      <c r="M7">
        <v>2.16</v>
      </c>
      <c r="O7" t="s">
        <v>534</v>
      </c>
      <c r="P7" t="s">
        <v>535</v>
      </c>
    </row>
    <row r="8" spans="1:16" x14ac:dyDescent="0.2">
      <c r="A8" t="str" cm="1">
        <f t="array" ref="A8">_xlfn.IFS(C8="it ITA", "Serie A", C8="eng ENG", "Premier League", C8="de GER", "Bundesliga", C8="es ESP", "La Liga", C8="fr FRA", "Ligue 1")</f>
        <v>Premier League</v>
      </c>
      <c r="B8" t="s">
        <v>9</v>
      </c>
      <c r="C8" t="s">
        <v>150</v>
      </c>
      <c r="D8">
        <v>3</v>
      </c>
      <c r="E8">
        <v>38</v>
      </c>
      <c r="F8">
        <v>25</v>
      </c>
      <c r="G8">
        <v>7</v>
      </c>
      <c r="H8">
        <v>6</v>
      </c>
      <c r="I8">
        <v>57</v>
      </c>
      <c r="J8">
        <v>25</v>
      </c>
      <c r="K8">
        <v>32</v>
      </c>
      <c r="L8">
        <v>82</v>
      </c>
      <c r="M8">
        <v>2.16</v>
      </c>
      <c r="N8" s="1">
        <v>44897</v>
      </c>
      <c r="O8" t="s">
        <v>536</v>
      </c>
      <c r="P8" t="s">
        <v>537</v>
      </c>
    </row>
    <row r="9" spans="1:16" x14ac:dyDescent="0.2">
      <c r="A9" t="str" cm="1">
        <f t="array" ref="A9">_xlfn.IFS(C9="it ITA", "Serie A", C9="eng ENG", "Premier League", C9="de GER", "Bundesliga", C9="es ESP", "La Liga", C9="fr FRA", "Ligue 1")</f>
        <v>Bundesliga</v>
      </c>
      <c r="B9" t="s">
        <v>84</v>
      </c>
      <c r="C9" t="s">
        <v>160</v>
      </c>
      <c r="D9">
        <v>2</v>
      </c>
      <c r="E9">
        <v>34</v>
      </c>
      <c r="F9">
        <v>21</v>
      </c>
      <c r="G9">
        <v>7</v>
      </c>
      <c r="H9">
        <v>6</v>
      </c>
      <c r="I9">
        <v>79</v>
      </c>
      <c r="J9">
        <v>37</v>
      </c>
      <c r="K9">
        <v>42</v>
      </c>
      <c r="L9">
        <v>70</v>
      </c>
      <c r="M9">
        <v>2.06</v>
      </c>
      <c r="O9" t="s">
        <v>538</v>
      </c>
      <c r="P9" t="s">
        <v>162</v>
      </c>
    </row>
    <row r="10" spans="1:16" x14ac:dyDescent="0.2">
      <c r="A10" t="str" cm="1">
        <f t="array" ref="A10">_xlfn.IFS(C10="it ITA", "Serie A", C10="eng ENG", "Premier League", C10="de GER", "Bundesliga", C10="es ESP", "La Liga", C10="fr FRA", "Ligue 1")</f>
        <v>Serie A</v>
      </c>
      <c r="B10" t="s">
        <v>341</v>
      </c>
      <c r="C10" t="s">
        <v>147</v>
      </c>
      <c r="D10">
        <v>1</v>
      </c>
      <c r="E10">
        <v>38</v>
      </c>
      <c r="F10">
        <v>23</v>
      </c>
      <c r="G10">
        <v>7</v>
      </c>
      <c r="H10">
        <v>8</v>
      </c>
      <c r="I10">
        <v>68</v>
      </c>
      <c r="J10">
        <v>30</v>
      </c>
      <c r="K10">
        <v>38</v>
      </c>
      <c r="L10">
        <v>76</v>
      </c>
      <c r="M10">
        <v>2</v>
      </c>
      <c r="O10" t="s">
        <v>539</v>
      </c>
      <c r="P10" t="s">
        <v>540</v>
      </c>
    </row>
    <row r="11" spans="1:16" x14ac:dyDescent="0.2">
      <c r="A11" t="str" cm="1">
        <f t="array" ref="A11">_xlfn.IFS(C11="it ITA", "Serie A", C11="eng ENG", "Premier League", C11="de GER", "Bundesliga", C11="es ESP", "La Liga", C11="fr FRA", "Ligue 1")</f>
        <v>Bundesliga</v>
      </c>
      <c r="B11" t="s">
        <v>71</v>
      </c>
      <c r="C11" t="s">
        <v>160</v>
      </c>
      <c r="D11">
        <v>3</v>
      </c>
      <c r="E11">
        <v>34</v>
      </c>
      <c r="F11">
        <v>21</v>
      </c>
      <c r="G11">
        <v>5</v>
      </c>
      <c r="H11">
        <v>8</v>
      </c>
      <c r="I11">
        <v>53</v>
      </c>
      <c r="J11">
        <v>30</v>
      </c>
      <c r="K11">
        <v>23</v>
      </c>
      <c r="L11">
        <v>68</v>
      </c>
      <c r="M11">
        <v>2</v>
      </c>
      <c r="O11" t="s">
        <v>541</v>
      </c>
      <c r="P11" t="s">
        <v>542</v>
      </c>
    </row>
    <row r="12" spans="1:16" x14ac:dyDescent="0.2">
      <c r="A12" t="str" cm="1">
        <f t="array" ref="A12">_xlfn.IFS(C12="it ITA", "Serie A", C12="eng ENG", "Premier League", C12="de GER", "Bundesliga", C12="es ESP", "La Liga", C12="fr FRA", "Ligue 1")</f>
        <v>La Liga</v>
      </c>
      <c r="B12" t="s">
        <v>24</v>
      </c>
      <c r="C12" t="s">
        <v>165</v>
      </c>
      <c r="D12">
        <v>2</v>
      </c>
      <c r="E12">
        <v>38</v>
      </c>
      <c r="F12">
        <v>20</v>
      </c>
      <c r="G12">
        <v>10</v>
      </c>
      <c r="H12">
        <v>8</v>
      </c>
      <c r="I12">
        <v>70</v>
      </c>
      <c r="J12">
        <v>40</v>
      </c>
      <c r="K12">
        <v>30</v>
      </c>
      <c r="L12">
        <v>70</v>
      </c>
      <c r="M12">
        <v>1.84</v>
      </c>
      <c r="O12" t="s">
        <v>543</v>
      </c>
      <c r="P12" t="s">
        <v>377</v>
      </c>
    </row>
    <row r="13" spans="1:16" x14ac:dyDescent="0.2">
      <c r="A13" t="str" cm="1">
        <f t="array" ref="A13">_xlfn.IFS(C13="it ITA", "Serie A", C13="eng ENG", "Premier League", C13="de GER", "Bundesliga", C13="es ESP", "La Liga", C13="fr FRA", "Ligue 1")</f>
        <v>Serie A</v>
      </c>
      <c r="B13" t="s">
        <v>57</v>
      </c>
      <c r="C13" t="s">
        <v>147</v>
      </c>
      <c r="D13">
        <v>2</v>
      </c>
      <c r="E13">
        <v>38</v>
      </c>
      <c r="F13">
        <v>19</v>
      </c>
      <c r="G13">
        <v>12</v>
      </c>
      <c r="H13">
        <v>7</v>
      </c>
      <c r="I13">
        <v>70</v>
      </c>
      <c r="J13">
        <v>42</v>
      </c>
      <c r="K13">
        <v>28</v>
      </c>
      <c r="L13">
        <v>69</v>
      </c>
      <c r="M13">
        <v>1.82</v>
      </c>
      <c r="O13" t="s">
        <v>544</v>
      </c>
      <c r="P13" t="s">
        <v>545</v>
      </c>
    </row>
    <row r="14" spans="1:16" x14ac:dyDescent="0.2">
      <c r="A14" t="str" cm="1">
        <f t="array" ref="A14">_xlfn.IFS(C14="it ITA", "Serie A", C14="eng ENG", "Premier League", C14="de GER", "Bundesliga", C14="es ESP", "La Liga", C14="fr FRA", "Ligue 1")</f>
        <v>La Liga</v>
      </c>
      <c r="B14" t="s">
        <v>26</v>
      </c>
      <c r="C14" t="s">
        <v>165</v>
      </c>
      <c r="D14">
        <v>3</v>
      </c>
      <c r="E14">
        <v>38</v>
      </c>
      <c r="F14">
        <v>19</v>
      </c>
      <c r="G14">
        <v>12</v>
      </c>
      <c r="H14">
        <v>7</v>
      </c>
      <c r="I14">
        <v>58</v>
      </c>
      <c r="J14">
        <v>33</v>
      </c>
      <c r="K14">
        <v>25</v>
      </c>
      <c r="L14">
        <v>69</v>
      </c>
      <c r="M14">
        <v>1.82</v>
      </c>
      <c r="O14" t="s">
        <v>546</v>
      </c>
      <c r="P14" t="s">
        <v>191</v>
      </c>
    </row>
    <row r="15" spans="1:16" x14ac:dyDescent="0.2">
      <c r="A15" t="str" cm="1">
        <f t="array" ref="A15">_xlfn.IFS(C15="it ITA", "Serie A", C15="eng ENG", "Premier League", C15="de GER", "Bundesliga", C15="es ESP", "La Liga", C15="fr FRA", "Ligue 1")</f>
        <v>Ligue 1</v>
      </c>
      <c r="B15" t="s">
        <v>85</v>
      </c>
      <c r="C15" t="s">
        <v>157</v>
      </c>
      <c r="D15">
        <v>2</v>
      </c>
      <c r="E15">
        <v>38</v>
      </c>
      <c r="F15">
        <v>18</v>
      </c>
      <c r="G15">
        <v>15</v>
      </c>
      <c r="H15">
        <v>5</v>
      </c>
      <c r="I15">
        <v>43</v>
      </c>
      <c r="J15">
        <v>25</v>
      </c>
      <c r="K15">
        <v>18</v>
      </c>
      <c r="L15">
        <v>69</v>
      </c>
      <c r="M15">
        <v>1.82</v>
      </c>
      <c r="O15" t="s">
        <v>547</v>
      </c>
      <c r="P15" t="s">
        <v>195</v>
      </c>
    </row>
    <row r="16" spans="1:16" x14ac:dyDescent="0.2">
      <c r="A16" t="str" cm="1">
        <f t="array" ref="A16">_xlfn.IFS(C16="it ITA", "Serie A", C16="eng ENG", "Premier League", C16="de GER", "Bundesliga", C16="es ESP", "La Liga", C16="fr FRA", "Ligue 1")</f>
        <v>Bundesliga</v>
      </c>
      <c r="B16" t="s">
        <v>125</v>
      </c>
      <c r="C16" t="s">
        <v>160</v>
      </c>
      <c r="D16">
        <v>4</v>
      </c>
      <c r="E16">
        <v>34</v>
      </c>
      <c r="F16">
        <v>16</v>
      </c>
      <c r="G16">
        <v>13</v>
      </c>
      <c r="H16">
        <v>5</v>
      </c>
      <c r="I16">
        <v>47</v>
      </c>
      <c r="J16">
        <v>31</v>
      </c>
      <c r="K16">
        <v>16</v>
      </c>
      <c r="L16">
        <v>61</v>
      </c>
      <c r="M16">
        <v>1.79</v>
      </c>
      <c r="O16" t="s">
        <v>548</v>
      </c>
      <c r="P16" t="s">
        <v>387</v>
      </c>
    </row>
    <row r="17" spans="1:16" x14ac:dyDescent="0.2">
      <c r="A17" t="str" cm="1">
        <f t="array" ref="A17">_xlfn.IFS(C17="it ITA", "Serie A", C17="eng ENG", "Premier League", C17="de GER", "Bundesliga", C17="es ESP", "La Liga", C17="fr FRA", "Ligue 1")</f>
        <v>La Liga</v>
      </c>
      <c r="B17" t="s">
        <v>27</v>
      </c>
      <c r="C17" t="s">
        <v>165</v>
      </c>
      <c r="D17">
        <v>5</v>
      </c>
      <c r="E17">
        <v>38</v>
      </c>
      <c r="F17">
        <v>20</v>
      </c>
      <c r="G17">
        <v>8</v>
      </c>
      <c r="H17">
        <v>10</v>
      </c>
      <c r="I17">
        <v>54</v>
      </c>
      <c r="J17">
        <v>39</v>
      </c>
      <c r="K17">
        <v>15</v>
      </c>
      <c r="L17">
        <v>68</v>
      </c>
      <c r="M17">
        <v>1.79</v>
      </c>
      <c r="O17" t="s">
        <v>549</v>
      </c>
      <c r="P17" t="s">
        <v>550</v>
      </c>
    </row>
    <row r="18" spans="1:16" x14ac:dyDescent="0.2">
      <c r="A18" t="str" cm="1">
        <f t="array" ref="A18">_xlfn.IFS(C18="it ITA", "Serie A", C18="eng ENG", "Premier League", C18="de GER", "Bundesliga", C18="es ESP", "La Liga", C18="fr FRA", "Ligue 1")</f>
        <v>La Liga</v>
      </c>
      <c r="B18" t="s">
        <v>38</v>
      </c>
      <c r="C18" t="s">
        <v>165</v>
      </c>
      <c r="D18">
        <v>4</v>
      </c>
      <c r="E18">
        <v>38</v>
      </c>
      <c r="F18">
        <v>21</v>
      </c>
      <c r="G18">
        <v>5</v>
      </c>
      <c r="H18">
        <v>12</v>
      </c>
      <c r="I18">
        <v>49</v>
      </c>
      <c r="J18">
        <v>43</v>
      </c>
      <c r="K18">
        <v>6</v>
      </c>
      <c r="L18">
        <v>68</v>
      </c>
      <c r="M18">
        <v>1.79</v>
      </c>
      <c r="O18" t="s">
        <v>551</v>
      </c>
      <c r="P18" t="s">
        <v>432</v>
      </c>
    </row>
    <row r="19" spans="1:16" x14ac:dyDescent="0.2">
      <c r="A19" t="str" cm="1">
        <f t="array" ref="A19">_xlfn.IFS(C19="it ITA", "Serie A", C19="eng ENG", "Premier League", C19="de GER", "Bundesliga", C19="es ESP", "La Liga", C19="fr FRA", "Ligue 1")</f>
        <v>Premier League</v>
      </c>
      <c r="B19" t="s">
        <v>0</v>
      </c>
      <c r="C19" t="s">
        <v>150</v>
      </c>
      <c r="D19">
        <v>4</v>
      </c>
      <c r="E19">
        <v>38</v>
      </c>
      <c r="F19">
        <v>20</v>
      </c>
      <c r="G19">
        <v>7</v>
      </c>
      <c r="H19">
        <v>11</v>
      </c>
      <c r="I19">
        <v>68</v>
      </c>
      <c r="J19">
        <v>31</v>
      </c>
      <c r="K19">
        <v>37</v>
      </c>
      <c r="L19">
        <v>67</v>
      </c>
      <c r="M19">
        <v>1.76</v>
      </c>
      <c r="N19" s="1">
        <v>38184</v>
      </c>
      <c r="O19" t="s">
        <v>552</v>
      </c>
      <c r="P19" t="s">
        <v>213</v>
      </c>
    </row>
    <row r="20" spans="1:16" x14ac:dyDescent="0.2">
      <c r="A20" t="str" cm="1">
        <f t="array" ref="A20">_xlfn.IFS(C20="it ITA", "Serie A", C20="eng ENG", "Premier League", C20="de GER", "Bundesliga", C20="es ESP", "La Liga", C20="fr FRA", "Ligue 1")</f>
        <v>Premier League</v>
      </c>
      <c r="B20" t="s">
        <v>350</v>
      </c>
      <c r="C20" t="s">
        <v>150</v>
      </c>
      <c r="D20">
        <v>5</v>
      </c>
      <c r="E20">
        <v>38</v>
      </c>
      <c r="F20">
        <v>18</v>
      </c>
      <c r="G20">
        <v>11</v>
      </c>
      <c r="H20">
        <v>9</v>
      </c>
      <c r="I20">
        <v>53</v>
      </c>
      <c r="J20">
        <v>38</v>
      </c>
      <c r="K20">
        <v>15</v>
      </c>
      <c r="L20">
        <v>65</v>
      </c>
      <c r="M20">
        <v>1.71</v>
      </c>
      <c r="N20" s="1">
        <v>36036</v>
      </c>
      <c r="O20" t="s">
        <v>553</v>
      </c>
      <c r="P20" t="s">
        <v>554</v>
      </c>
    </row>
    <row r="21" spans="1:16" x14ac:dyDescent="0.2">
      <c r="A21" t="str" cm="1">
        <f t="array" ref="A21">_xlfn.IFS(C21="it ITA", "Serie A", C21="eng ENG", "Premier League", C21="de GER", "Bundesliga", C21="es ESP", "La Liga", C21="fr FRA", "Ligue 1")</f>
        <v>La Liga</v>
      </c>
      <c r="B21" t="s">
        <v>110</v>
      </c>
      <c r="C21" t="s">
        <v>165</v>
      </c>
      <c r="D21">
        <v>6</v>
      </c>
      <c r="E21">
        <v>38</v>
      </c>
      <c r="F21">
        <v>20</v>
      </c>
      <c r="G21">
        <v>4</v>
      </c>
      <c r="H21">
        <v>14</v>
      </c>
      <c r="I21">
        <v>45</v>
      </c>
      <c r="J21">
        <v>33</v>
      </c>
      <c r="K21">
        <v>12</v>
      </c>
      <c r="L21">
        <v>64</v>
      </c>
      <c r="M21">
        <v>1.68</v>
      </c>
      <c r="O21" t="s">
        <v>555</v>
      </c>
      <c r="P21" t="s">
        <v>556</v>
      </c>
    </row>
    <row r="22" spans="1:16" x14ac:dyDescent="0.2">
      <c r="A22" t="str" cm="1">
        <f t="array" ref="A22">_xlfn.IFS(C22="it ITA", "Serie A", C22="eng ENG", "Premier League", C22="de GER", "Bundesliga", C22="es ESP", "La Liga", C22="fr FRA", "Ligue 1")</f>
        <v>Premier League</v>
      </c>
      <c r="B22" t="s">
        <v>3</v>
      </c>
      <c r="C22" t="s">
        <v>150</v>
      </c>
      <c r="D22">
        <v>6</v>
      </c>
      <c r="E22">
        <v>38</v>
      </c>
      <c r="F22">
        <v>19</v>
      </c>
      <c r="G22">
        <v>6</v>
      </c>
      <c r="H22">
        <v>13</v>
      </c>
      <c r="I22">
        <v>51</v>
      </c>
      <c r="J22">
        <v>42</v>
      </c>
      <c r="K22">
        <v>9</v>
      </c>
      <c r="L22">
        <v>63</v>
      </c>
      <c r="M22">
        <v>1.66</v>
      </c>
      <c r="N22" s="1">
        <v>21015</v>
      </c>
      <c r="O22" t="s">
        <v>557</v>
      </c>
      <c r="P22" t="s">
        <v>440</v>
      </c>
    </row>
    <row r="23" spans="1:16" x14ac:dyDescent="0.2">
      <c r="A23" t="str" cm="1">
        <f t="array" ref="A23">_xlfn.IFS(C23="it ITA", "Serie A", C23="eng ENG", "Premier League", C23="de GER", "Bundesliga", C23="es ESP", "La Liga", C23="fr FRA", "Ligue 1")</f>
        <v>Ligue 1</v>
      </c>
      <c r="B23" t="s">
        <v>96</v>
      </c>
      <c r="C23" t="s">
        <v>157</v>
      </c>
      <c r="D23">
        <v>3</v>
      </c>
      <c r="E23">
        <v>38</v>
      </c>
      <c r="F23">
        <v>16</v>
      </c>
      <c r="G23">
        <v>14</v>
      </c>
      <c r="H23">
        <v>8</v>
      </c>
      <c r="I23">
        <v>56</v>
      </c>
      <c r="J23">
        <v>31</v>
      </c>
      <c r="K23">
        <v>25</v>
      </c>
      <c r="L23">
        <v>62</v>
      </c>
      <c r="M23">
        <v>1.63</v>
      </c>
      <c r="O23" t="s">
        <v>558</v>
      </c>
      <c r="P23" t="s">
        <v>559</v>
      </c>
    </row>
    <row r="24" spans="1:16" x14ac:dyDescent="0.2">
      <c r="A24" t="str" cm="1">
        <f t="array" ref="A24">_xlfn.IFS(C24="it ITA", "Serie A", C24="eng ENG", "Premier League", C24="de GER", "Bundesliga", C24="es ESP", "La Liga", C24="fr FRA", "Ligue 1")</f>
        <v>Ligue 1</v>
      </c>
      <c r="B24" t="s">
        <v>91</v>
      </c>
      <c r="C24" t="s">
        <v>157</v>
      </c>
      <c r="D24">
        <v>4</v>
      </c>
      <c r="E24">
        <v>38</v>
      </c>
      <c r="F24">
        <v>14</v>
      </c>
      <c r="G24">
        <v>18</v>
      </c>
      <c r="H24">
        <v>6</v>
      </c>
      <c r="I24">
        <v>48</v>
      </c>
      <c r="J24">
        <v>34</v>
      </c>
      <c r="K24">
        <v>14</v>
      </c>
      <c r="L24">
        <v>60</v>
      </c>
      <c r="M24">
        <v>1.58</v>
      </c>
      <c r="O24" t="s">
        <v>560</v>
      </c>
      <c r="P24" t="s">
        <v>561</v>
      </c>
    </row>
    <row r="25" spans="1:16" x14ac:dyDescent="0.2">
      <c r="A25" t="str" cm="1">
        <f t="array" ref="A25">_xlfn.IFS(C25="it ITA", "Serie A", C25="eng ENG", "Premier League", C25="de GER", "Bundesliga", C25="es ESP", "La Liga", C25="fr FRA", "Ligue 1")</f>
        <v>Ligue 1</v>
      </c>
      <c r="B25" t="s">
        <v>101</v>
      </c>
      <c r="C25" t="s">
        <v>157</v>
      </c>
      <c r="D25">
        <v>5</v>
      </c>
      <c r="E25">
        <v>38</v>
      </c>
      <c r="F25">
        <v>16</v>
      </c>
      <c r="G25">
        <v>12</v>
      </c>
      <c r="H25">
        <v>10</v>
      </c>
      <c r="I25">
        <v>44</v>
      </c>
      <c r="J25">
        <v>35</v>
      </c>
      <c r="K25">
        <v>9</v>
      </c>
      <c r="L25">
        <v>60</v>
      </c>
      <c r="M25">
        <v>1.58</v>
      </c>
      <c r="O25" t="s">
        <v>562</v>
      </c>
      <c r="P25" t="s">
        <v>175</v>
      </c>
    </row>
    <row r="26" spans="1:16" x14ac:dyDescent="0.2">
      <c r="A26" t="str" cm="1">
        <f t="array" ref="A26">_xlfn.IFS(C26="it ITA", "Serie A", C26="eng ENG", "Premier League", C26="de GER", "Bundesliga", C26="es ESP", "La Liga", C26="fr FRA", "Ligue 1")</f>
        <v>Ligue 1</v>
      </c>
      <c r="B26" t="s">
        <v>102</v>
      </c>
      <c r="C26" t="s">
        <v>157</v>
      </c>
      <c r="D26">
        <v>6</v>
      </c>
      <c r="E26">
        <v>38</v>
      </c>
      <c r="F26">
        <v>17</v>
      </c>
      <c r="G26">
        <v>8</v>
      </c>
      <c r="H26">
        <v>13</v>
      </c>
      <c r="I26">
        <v>50</v>
      </c>
      <c r="J26">
        <v>39</v>
      </c>
      <c r="K26">
        <v>11</v>
      </c>
      <c r="L26">
        <v>59</v>
      </c>
      <c r="M26">
        <v>1.55</v>
      </c>
      <c r="O26" t="s">
        <v>563</v>
      </c>
      <c r="P26" t="s">
        <v>380</v>
      </c>
    </row>
    <row r="27" spans="1:16" x14ac:dyDescent="0.2">
      <c r="A27" t="str" cm="1">
        <f t="array" ref="A27">_xlfn.IFS(C27="it ITA", "Serie A", C27="eng ENG", "Premier League", C27="de GER", "Bundesliga", C27="es ESP", "La Liga", C27="fr FRA", "Ligue 1")</f>
        <v>Ligue 1</v>
      </c>
      <c r="B27" t="s">
        <v>131</v>
      </c>
      <c r="C27" t="s">
        <v>157</v>
      </c>
      <c r="D27">
        <v>7</v>
      </c>
      <c r="E27">
        <v>38</v>
      </c>
      <c r="F27">
        <v>18</v>
      </c>
      <c r="G27">
        <v>5</v>
      </c>
      <c r="H27">
        <v>15</v>
      </c>
      <c r="I27">
        <v>48</v>
      </c>
      <c r="J27">
        <v>49</v>
      </c>
      <c r="K27">
        <v>-1</v>
      </c>
      <c r="L27">
        <v>59</v>
      </c>
      <c r="M27">
        <v>1.55</v>
      </c>
      <c r="O27" t="s">
        <v>564</v>
      </c>
      <c r="P27" t="s">
        <v>565</v>
      </c>
    </row>
    <row r="28" spans="1:16" x14ac:dyDescent="0.2">
      <c r="A28" t="str" cm="1">
        <f t="array" ref="A28">_xlfn.IFS(C28="it ITA", "Serie A", C28="eng ENG", "Premier League", C28="de GER", "Bundesliga", C28="es ESP", "La Liga", C28="fr FRA", "Ligue 1")</f>
        <v>Serie A</v>
      </c>
      <c r="B28" t="s">
        <v>52</v>
      </c>
      <c r="C28" t="s">
        <v>147</v>
      </c>
      <c r="D28">
        <v>3</v>
      </c>
      <c r="E28">
        <v>38</v>
      </c>
      <c r="F28">
        <v>28</v>
      </c>
      <c r="G28">
        <v>4</v>
      </c>
      <c r="H28">
        <v>6</v>
      </c>
      <c r="I28">
        <v>85</v>
      </c>
      <c r="J28">
        <v>31</v>
      </c>
      <c r="K28">
        <v>54</v>
      </c>
      <c r="L28">
        <v>58</v>
      </c>
      <c r="M28">
        <v>1.53</v>
      </c>
      <c r="O28" t="s">
        <v>566</v>
      </c>
      <c r="P28" t="s">
        <v>567</v>
      </c>
    </row>
    <row r="29" spans="1:16" x14ac:dyDescent="0.2">
      <c r="A29" t="str" cm="1">
        <f t="array" ref="A29">_xlfn.IFS(C29="it ITA", "Serie A", C29="eng ENG", "Premier League", C29="de GER", "Bundesliga", C29="es ESP", "La Liga", C29="fr FRA", "Ligue 1")</f>
        <v>Bundesliga</v>
      </c>
      <c r="B29" t="s">
        <v>62</v>
      </c>
      <c r="C29" t="s">
        <v>160</v>
      </c>
      <c r="D29">
        <v>5</v>
      </c>
      <c r="E29">
        <v>34</v>
      </c>
      <c r="F29">
        <v>14</v>
      </c>
      <c r="G29">
        <v>10</v>
      </c>
      <c r="H29">
        <v>10</v>
      </c>
      <c r="I29">
        <v>64</v>
      </c>
      <c r="J29">
        <v>49</v>
      </c>
      <c r="K29">
        <v>15</v>
      </c>
      <c r="L29">
        <v>52</v>
      </c>
      <c r="M29">
        <v>1.53</v>
      </c>
      <c r="O29" t="s">
        <v>568</v>
      </c>
      <c r="P29" t="s">
        <v>255</v>
      </c>
    </row>
    <row r="30" spans="1:16" x14ac:dyDescent="0.2">
      <c r="A30" t="str" cm="1">
        <f t="array" ref="A30">_xlfn.IFS(C30="it ITA", "Serie A", C30="eng ENG", "Premier League", C30="de GER", "Bundesliga", C30="es ESP", "La Liga", C30="fr FRA", "Ligue 1")</f>
        <v>Premier League</v>
      </c>
      <c r="B30" t="s">
        <v>349</v>
      </c>
      <c r="C30" t="s">
        <v>150</v>
      </c>
      <c r="D30">
        <v>7</v>
      </c>
      <c r="E30">
        <v>38</v>
      </c>
      <c r="F30">
        <v>17</v>
      </c>
      <c r="G30">
        <v>7</v>
      </c>
      <c r="H30">
        <v>14</v>
      </c>
      <c r="I30">
        <v>47</v>
      </c>
      <c r="J30">
        <v>42</v>
      </c>
      <c r="K30">
        <v>5</v>
      </c>
      <c r="L30">
        <v>58</v>
      </c>
      <c r="M30">
        <v>1.53</v>
      </c>
      <c r="N30" s="1">
        <v>52134</v>
      </c>
      <c r="O30" t="s">
        <v>569</v>
      </c>
      <c r="P30" t="s">
        <v>279</v>
      </c>
    </row>
    <row r="31" spans="1:16" x14ac:dyDescent="0.2">
      <c r="A31" t="str" cm="1">
        <f t="array" ref="A31">_xlfn.IFS(C31="it ITA", "Serie A", C31="eng ENG", "Premier League", C31="de GER", "Bundesliga", C31="es ESP", "La Liga", C31="fr FRA", "Ligue 1")</f>
        <v>Ligue 1</v>
      </c>
      <c r="B31" t="s">
        <v>680</v>
      </c>
      <c r="C31" t="s">
        <v>157</v>
      </c>
      <c r="D31">
        <v>8</v>
      </c>
      <c r="E31">
        <v>38</v>
      </c>
      <c r="F31">
        <v>16</v>
      </c>
      <c r="G31">
        <v>10</v>
      </c>
      <c r="H31">
        <v>12</v>
      </c>
      <c r="I31">
        <v>36</v>
      </c>
      <c r="J31">
        <v>31</v>
      </c>
      <c r="K31">
        <v>5</v>
      </c>
      <c r="L31">
        <v>58</v>
      </c>
      <c r="M31">
        <v>1.53</v>
      </c>
      <c r="O31" t="s">
        <v>570</v>
      </c>
      <c r="P31" t="s">
        <v>571</v>
      </c>
    </row>
    <row r="32" spans="1:16" x14ac:dyDescent="0.2">
      <c r="A32" t="str" cm="1">
        <f t="array" ref="A32">_xlfn.IFS(C32="it ITA", "Serie A", C32="eng ENG", "Premier League", C32="de GER", "Bundesliga", C32="es ESP", "La Liga", C32="fr FRA", "Ligue 1")</f>
        <v>La Liga</v>
      </c>
      <c r="B32" t="s">
        <v>520</v>
      </c>
      <c r="C32" t="s">
        <v>165</v>
      </c>
      <c r="D32">
        <v>7</v>
      </c>
      <c r="E32">
        <v>38</v>
      </c>
      <c r="F32">
        <v>14</v>
      </c>
      <c r="G32">
        <v>15</v>
      </c>
      <c r="H32">
        <v>9</v>
      </c>
      <c r="I32">
        <v>50</v>
      </c>
      <c r="J32">
        <v>39</v>
      </c>
      <c r="K32">
        <v>11</v>
      </c>
      <c r="L32">
        <v>57</v>
      </c>
      <c r="M32">
        <v>1.5</v>
      </c>
      <c r="O32" t="s">
        <v>572</v>
      </c>
      <c r="P32" t="s">
        <v>573</v>
      </c>
    </row>
    <row r="33" spans="1:16" x14ac:dyDescent="0.2">
      <c r="A33" t="str" cm="1">
        <f t="array" ref="A33">_xlfn.IFS(C33="it ITA", "Serie A", C33="eng ENG", "Premier League", C33="de GER", "Bundesliga", C33="es ESP", "La Liga", C33="fr FRA", "Ligue 1")</f>
        <v>Premier League</v>
      </c>
      <c r="B33" t="s">
        <v>356</v>
      </c>
      <c r="C33" t="s">
        <v>150</v>
      </c>
      <c r="D33">
        <v>8</v>
      </c>
      <c r="E33">
        <v>38</v>
      </c>
      <c r="F33">
        <v>15</v>
      </c>
      <c r="G33">
        <v>11</v>
      </c>
      <c r="H33">
        <v>12</v>
      </c>
      <c r="I33">
        <v>49</v>
      </c>
      <c r="J33">
        <v>41</v>
      </c>
      <c r="K33">
        <v>8</v>
      </c>
      <c r="L33">
        <v>56</v>
      </c>
      <c r="M33">
        <v>1.47</v>
      </c>
      <c r="N33" s="1">
        <v>25201</v>
      </c>
      <c r="O33" t="s">
        <v>574</v>
      </c>
      <c r="P33" t="s">
        <v>475</v>
      </c>
    </row>
    <row r="34" spans="1:16" x14ac:dyDescent="0.2">
      <c r="A34" t="str" cm="1">
        <f t="array" ref="A34">_xlfn.IFS(C34="it ITA", "Serie A", C34="eng ENG", "Premier League", C34="de GER", "Bundesliga", C34="es ESP", "La Liga", C34="fr FRA", "Ligue 1")</f>
        <v>La Liga</v>
      </c>
      <c r="B34" t="s">
        <v>509</v>
      </c>
      <c r="C34" t="s">
        <v>165</v>
      </c>
      <c r="D34">
        <v>8</v>
      </c>
      <c r="E34">
        <v>38</v>
      </c>
      <c r="F34">
        <v>15</v>
      </c>
      <c r="G34">
        <v>10</v>
      </c>
      <c r="H34">
        <v>13</v>
      </c>
      <c r="I34">
        <v>47</v>
      </c>
      <c r="J34">
        <v>45</v>
      </c>
      <c r="K34">
        <v>2</v>
      </c>
      <c r="L34">
        <v>55</v>
      </c>
      <c r="M34">
        <v>1.45</v>
      </c>
      <c r="O34" t="s">
        <v>575</v>
      </c>
      <c r="P34" t="s">
        <v>199</v>
      </c>
    </row>
    <row r="35" spans="1:16" x14ac:dyDescent="0.2">
      <c r="A35" t="str" cm="1">
        <f t="array" ref="A35">_xlfn.IFS(C35="it ITA", "Serie A", C35="eng ENG", "Premier League", C35="de GER", "Bundesliga", C35="es ESP", "La Liga", C35="fr FRA", "Ligue 1")</f>
        <v>Premier League</v>
      </c>
      <c r="B35" t="s">
        <v>345</v>
      </c>
      <c r="C35" t="s">
        <v>150</v>
      </c>
      <c r="D35">
        <v>9</v>
      </c>
      <c r="E35">
        <v>38</v>
      </c>
      <c r="F35">
        <v>16</v>
      </c>
      <c r="G35">
        <v>7</v>
      </c>
      <c r="H35">
        <v>15</v>
      </c>
      <c r="I35">
        <v>52</v>
      </c>
      <c r="J35">
        <v>55</v>
      </c>
      <c r="K35">
        <v>-3</v>
      </c>
      <c r="L35">
        <v>55</v>
      </c>
      <c r="M35">
        <v>1.45</v>
      </c>
      <c r="N35" s="1">
        <v>33225</v>
      </c>
      <c r="O35" t="s">
        <v>576</v>
      </c>
      <c r="P35" t="s">
        <v>577</v>
      </c>
    </row>
    <row r="36" spans="1:16" x14ac:dyDescent="0.2">
      <c r="A36" t="str" cm="1">
        <f t="array" ref="A36">_xlfn.IFS(C36="it ITA", "Serie A", C36="eng ENG", "Premier League", C36="de GER", "Bundesliga", C36="es ESP", "La Liga", C36="fr FRA", "Ligue 1")</f>
        <v>Serie A</v>
      </c>
      <c r="B36" t="s">
        <v>510</v>
      </c>
      <c r="C36" t="s">
        <v>147</v>
      </c>
      <c r="D36">
        <v>4</v>
      </c>
      <c r="E36">
        <v>38</v>
      </c>
      <c r="F36">
        <v>13</v>
      </c>
      <c r="G36">
        <v>15</v>
      </c>
      <c r="H36">
        <v>10</v>
      </c>
      <c r="I36">
        <v>54</v>
      </c>
      <c r="J36">
        <v>49</v>
      </c>
      <c r="K36">
        <v>5</v>
      </c>
      <c r="L36">
        <v>54</v>
      </c>
      <c r="M36">
        <v>1.42</v>
      </c>
      <c r="O36" t="s">
        <v>578</v>
      </c>
      <c r="P36" t="s">
        <v>325</v>
      </c>
    </row>
    <row r="37" spans="1:16" x14ac:dyDescent="0.2">
      <c r="A37" t="str" cm="1">
        <f t="array" ref="A37">_xlfn.IFS(C37="it ITA", "Serie A", C37="eng ENG", "Premier League", C37="de GER", "Bundesliga", C37="es ESP", "La Liga", C37="fr FRA", "Ligue 1")</f>
        <v>La Liga</v>
      </c>
      <c r="B37" t="s">
        <v>681</v>
      </c>
      <c r="C37" t="s">
        <v>165</v>
      </c>
      <c r="D37">
        <v>9</v>
      </c>
      <c r="E37">
        <v>38</v>
      </c>
      <c r="F37">
        <v>15</v>
      </c>
      <c r="G37">
        <v>9</v>
      </c>
      <c r="H37">
        <v>14</v>
      </c>
      <c r="I37">
        <v>54</v>
      </c>
      <c r="J37">
        <v>49</v>
      </c>
      <c r="K37">
        <v>5</v>
      </c>
      <c r="L37">
        <v>54</v>
      </c>
      <c r="M37">
        <v>1.42</v>
      </c>
      <c r="O37" t="s">
        <v>579</v>
      </c>
      <c r="P37" t="s">
        <v>580</v>
      </c>
    </row>
    <row r="38" spans="1:16" x14ac:dyDescent="0.2">
      <c r="A38" t="str" cm="1">
        <f t="array" ref="A38">_xlfn.IFS(C38="it ITA", "Serie A", C38="eng ENG", "Premier League", C38="de GER", "Bundesliga", C38="es ESP", "La Liga", C38="fr FRA", "Ligue 1")</f>
        <v>Bundesliga</v>
      </c>
      <c r="B38" t="s">
        <v>126</v>
      </c>
      <c r="C38" t="s">
        <v>160</v>
      </c>
      <c r="D38">
        <v>6</v>
      </c>
      <c r="E38">
        <v>34</v>
      </c>
      <c r="F38">
        <v>12</v>
      </c>
      <c r="G38">
        <v>12</v>
      </c>
      <c r="H38">
        <v>10</v>
      </c>
      <c r="I38">
        <v>52</v>
      </c>
      <c r="J38">
        <v>48</v>
      </c>
      <c r="K38">
        <v>4</v>
      </c>
      <c r="L38">
        <v>48</v>
      </c>
      <c r="M38">
        <v>1.41</v>
      </c>
      <c r="O38" t="s">
        <v>581</v>
      </c>
      <c r="P38" t="s">
        <v>582</v>
      </c>
    </row>
    <row r="39" spans="1:16" x14ac:dyDescent="0.2">
      <c r="A39" t="str" cm="1">
        <f t="array" ref="A39">_xlfn.IFS(C39="it ITA", "Serie A", C39="eng ENG", "Premier League", C39="de GER", "Bundesliga", C39="es ESP", "La Liga", C39="fr FRA", "Ligue 1")</f>
        <v>La Liga</v>
      </c>
      <c r="B39" t="s">
        <v>25</v>
      </c>
      <c r="C39" t="s">
        <v>165</v>
      </c>
      <c r="D39">
        <v>10</v>
      </c>
      <c r="E39">
        <v>38</v>
      </c>
      <c r="F39">
        <v>13</v>
      </c>
      <c r="G39">
        <v>13</v>
      </c>
      <c r="H39">
        <v>12</v>
      </c>
      <c r="I39">
        <v>45</v>
      </c>
      <c r="J39">
        <v>37</v>
      </c>
      <c r="K39">
        <v>8</v>
      </c>
      <c r="L39">
        <v>52</v>
      </c>
      <c r="M39">
        <v>1.37</v>
      </c>
      <c r="O39" t="s">
        <v>583</v>
      </c>
      <c r="P39" t="s">
        <v>469</v>
      </c>
    </row>
    <row r="40" spans="1:16" x14ac:dyDescent="0.2">
      <c r="A40" t="str" cm="1">
        <f t="array" ref="A40">_xlfn.IFS(C40="it ITA", "Serie A", C40="eng ENG", "Premier League", C40="de GER", "Bundesliga", C40="es ESP", "La Liga", C40="fr FRA", "Ligue 1")</f>
        <v>Ligue 1</v>
      </c>
      <c r="B40" t="s">
        <v>344</v>
      </c>
      <c r="C40" t="s">
        <v>157</v>
      </c>
      <c r="D40">
        <v>9</v>
      </c>
      <c r="E40">
        <v>38</v>
      </c>
      <c r="F40">
        <v>13</v>
      </c>
      <c r="G40">
        <v>13</v>
      </c>
      <c r="H40">
        <v>12</v>
      </c>
      <c r="I40">
        <v>44</v>
      </c>
      <c r="J40">
        <v>38</v>
      </c>
      <c r="K40">
        <v>6</v>
      </c>
      <c r="L40">
        <v>52</v>
      </c>
      <c r="M40">
        <v>1.37</v>
      </c>
      <c r="O40" t="s">
        <v>584</v>
      </c>
      <c r="P40" t="s">
        <v>164</v>
      </c>
    </row>
    <row r="41" spans="1:16" x14ac:dyDescent="0.2">
      <c r="A41" t="str" cm="1">
        <f t="array" ref="A41">_xlfn.IFS(C41="it ITA", "Serie A", C41="eng ENG", "Premier League", C41="de GER", "Bundesliga", C41="es ESP", "La Liga", C41="fr FRA", "Ligue 1")</f>
        <v>Ligue 1</v>
      </c>
      <c r="B41" t="s">
        <v>90</v>
      </c>
      <c r="C41" t="s">
        <v>157</v>
      </c>
      <c r="D41">
        <v>10</v>
      </c>
      <c r="E41">
        <v>38</v>
      </c>
      <c r="F41">
        <v>13</v>
      </c>
      <c r="G41">
        <v>13</v>
      </c>
      <c r="H41">
        <v>12</v>
      </c>
      <c r="I41">
        <v>42</v>
      </c>
      <c r="J41">
        <v>36</v>
      </c>
      <c r="K41">
        <v>6</v>
      </c>
      <c r="L41">
        <v>52</v>
      </c>
      <c r="M41">
        <v>1.37</v>
      </c>
      <c r="O41" t="s">
        <v>585</v>
      </c>
      <c r="P41" t="s">
        <v>159</v>
      </c>
    </row>
    <row r="42" spans="1:16" x14ac:dyDescent="0.2">
      <c r="A42" t="str" cm="1">
        <f t="array" ref="A42">_xlfn.IFS(C42="it ITA", "Serie A", C42="eng ENG", "Premier League", C42="de GER", "Bundesliga", C42="es ESP", "La Liga", C42="fr FRA", "Ligue 1")</f>
        <v>Serie A</v>
      </c>
      <c r="B42" t="s">
        <v>682</v>
      </c>
      <c r="C42" t="s">
        <v>147</v>
      </c>
      <c r="D42">
        <v>5</v>
      </c>
      <c r="E42">
        <v>38</v>
      </c>
      <c r="F42">
        <v>13</v>
      </c>
      <c r="G42">
        <v>13</v>
      </c>
      <c r="H42">
        <v>12</v>
      </c>
      <c r="I42">
        <v>50</v>
      </c>
      <c r="J42">
        <v>52</v>
      </c>
      <c r="K42">
        <v>-2</v>
      </c>
      <c r="L42">
        <v>52</v>
      </c>
      <c r="M42">
        <v>1.37</v>
      </c>
      <c r="O42" t="s">
        <v>586</v>
      </c>
      <c r="P42" t="s">
        <v>587</v>
      </c>
    </row>
    <row r="43" spans="1:16" x14ac:dyDescent="0.2">
      <c r="A43" t="str" cm="1">
        <f t="array" ref="A43">_xlfn.IFS(C43="it ITA", "Serie A", C43="eng ENG", "Premier League", C43="de GER", "Bundesliga", C43="es ESP", "La Liga", C43="fr FRA", "Ligue 1")</f>
        <v>Ligue 1</v>
      </c>
      <c r="B43" t="s">
        <v>683</v>
      </c>
      <c r="C43" t="s">
        <v>157</v>
      </c>
      <c r="D43">
        <v>11</v>
      </c>
      <c r="E43">
        <v>38</v>
      </c>
      <c r="F43">
        <v>13</v>
      </c>
      <c r="G43">
        <v>13</v>
      </c>
      <c r="H43">
        <v>12</v>
      </c>
      <c r="I43">
        <v>33</v>
      </c>
      <c r="J43">
        <v>36</v>
      </c>
      <c r="K43">
        <v>-3</v>
      </c>
      <c r="L43">
        <v>52</v>
      </c>
      <c r="M43">
        <v>1.37</v>
      </c>
      <c r="O43" t="s">
        <v>588</v>
      </c>
      <c r="P43" t="s">
        <v>589</v>
      </c>
    </row>
    <row r="44" spans="1:16" x14ac:dyDescent="0.2">
      <c r="A44" t="str" cm="1">
        <f t="array" ref="A44">_xlfn.IFS(C44="it ITA", "Serie A", C44="eng ENG", "Premier League", C44="de GER", "Bundesliga", C44="es ESP", "La Liga", C44="fr FRA", "Ligue 1")</f>
        <v>Bundesliga</v>
      </c>
      <c r="B44" t="s">
        <v>65</v>
      </c>
      <c r="C44" t="s">
        <v>160</v>
      </c>
      <c r="D44">
        <v>7</v>
      </c>
      <c r="E44">
        <v>34</v>
      </c>
      <c r="F44">
        <v>11</v>
      </c>
      <c r="G44">
        <v>13</v>
      </c>
      <c r="H44">
        <v>10</v>
      </c>
      <c r="I44">
        <v>45</v>
      </c>
      <c r="J44">
        <v>42</v>
      </c>
      <c r="K44">
        <v>3</v>
      </c>
      <c r="L44">
        <v>46</v>
      </c>
      <c r="M44">
        <v>1.35</v>
      </c>
      <c r="O44" t="s">
        <v>590</v>
      </c>
      <c r="P44" t="s">
        <v>591</v>
      </c>
    </row>
    <row r="45" spans="1:16" x14ac:dyDescent="0.2">
      <c r="A45" t="str" cm="1">
        <f t="array" ref="A45">_xlfn.IFS(C45="it ITA", "Serie A", C45="eng ENG", "Premier League", C45="de GER", "Bundesliga", C45="es ESP", "La Liga", C45="fr FRA", "Ligue 1")</f>
        <v>Premier League</v>
      </c>
      <c r="B45" t="s">
        <v>684</v>
      </c>
      <c r="C45" t="s">
        <v>150</v>
      </c>
      <c r="D45">
        <v>10</v>
      </c>
      <c r="E45">
        <v>38</v>
      </c>
      <c r="F45">
        <v>15</v>
      </c>
      <c r="G45">
        <v>6</v>
      </c>
      <c r="H45">
        <v>17</v>
      </c>
      <c r="I45">
        <v>45</v>
      </c>
      <c r="J45">
        <v>52</v>
      </c>
      <c r="K45">
        <v>-7</v>
      </c>
      <c r="L45">
        <v>51</v>
      </c>
      <c r="M45">
        <v>1.34</v>
      </c>
      <c r="N45" s="1">
        <v>20886</v>
      </c>
      <c r="O45" t="s">
        <v>592</v>
      </c>
      <c r="P45" t="s">
        <v>593</v>
      </c>
    </row>
    <row r="46" spans="1:16" x14ac:dyDescent="0.2">
      <c r="A46" t="str" cm="1">
        <f t="array" ref="A46">_xlfn.IFS(C46="it ITA", "Serie A", C46="eng ENG", "Premier League", C46="de GER", "Bundesliga", C46="es ESP", "La Liga", C46="fr FRA", "Ligue 1")</f>
        <v>Premier League</v>
      </c>
      <c r="B46" t="s">
        <v>6</v>
      </c>
      <c r="C46" t="s">
        <v>150</v>
      </c>
      <c r="D46">
        <v>11</v>
      </c>
      <c r="E46">
        <v>38</v>
      </c>
      <c r="F46">
        <v>14</v>
      </c>
      <c r="G46">
        <v>8</v>
      </c>
      <c r="H46">
        <v>16</v>
      </c>
      <c r="I46">
        <v>34</v>
      </c>
      <c r="J46">
        <v>49</v>
      </c>
      <c r="K46">
        <v>-15</v>
      </c>
      <c r="L46">
        <v>50</v>
      </c>
      <c r="M46">
        <v>1.32</v>
      </c>
      <c r="N46" s="1">
        <v>36857</v>
      </c>
      <c r="O46" t="s">
        <v>594</v>
      </c>
      <c r="P46" t="s">
        <v>207</v>
      </c>
    </row>
    <row r="47" spans="1:16" x14ac:dyDescent="0.2">
      <c r="A47" t="str" cm="1">
        <f t="array" ref="A47">_xlfn.IFS(C47="it ITA", "Serie A", C47="eng ENG", "Premier League", C47="de GER", "Bundesliga", C47="es ESP", "La Liga", C47="fr FRA", "Ligue 1")</f>
        <v>Bundesliga</v>
      </c>
      <c r="B47" t="s">
        <v>524</v>
      </c>
      <c r="C47" t="s">
        <v>160</v>
      </c>
      <c r="D47">
        <v>8</v>
      </c>
      <c r="E47">
        <v>34</v>
      </c>
      <c r="F47">
        <v>12</v>
      </c>
      <c r="G47">
        <v>8</v>
      </c>
      <c r="H47">
        <v>14</v>
      </c>
      <c r="I47">
        <v>49</v>
      </c>
      <c r="J47">
        <v>51</v>
      </c>
      <c r="K47">
        <v>-2</v>
      </c>
      <c r="L47">
        <v>44</v>
      </c>
      <c r="M47">
        <v>1.29</v>
      </c>
      <c r="O47" t="s">
        <v>595</v>
      </c>
      <c r="P47" t="s">
        <v>596</v>
      </c>
    </row>
    <row r="48" spans="1:16" x14ac:dyDescent="0.2">
      <c r="A48" t="str" cm="1">
        <f t="array" ref="A48">_xlfn.IFS(C48="it ITA", "Serie A", C48="eng ENG", "Premier League", C48="de GER", "Bundesliga", C48="es ESP", "La Liga", C48="fr FRA", "Ligue 1")</f>
        <v>Serie A</v>
      </c>
      <c r="B48" t="s">
        <v>685</v>
      </c>
      <c r="C48" t="s">
        <v>147</v>
      </c>
      <c r="D48">
        <v>6</v>
      </c>
      <c r="E48">
        <v>38</v>
      </c>
      <c r="F48">
        <v>12</v>
      </c>
      <c r="G48">
        <v>13</v>
      </c>
      <c r="H48">
        <v>13</v>
      </c>
      <c r="I48">
        <v>37</v>
      </c>
      <c r="J48">
        <v>44</v>
      </c>
      <c r="K48">
        <v>-7</v>
      </c>
      <c r="L48">
        <v>49</v>
      </c>
      <c r="M48">
        <v>1.29</v>
      </c>
      <c r="O48" t="s">
        <v>597</v>
      </c>
      <c r="P48" t="s">
        <v>598</v>
      </c>
    </row>
    <row r="49" spans="1:16" x14ac:dyDescent="0.2">
      <c r="A49" t="str" cm="1">
        <f t="array" ref="A49">_xlfn.IFS(C49="it ITA", "Serie A", C49="eng ENG", "Premier League", C49="de GER", "Bundesliga", C49="es ESP", "La Liga", C49="fr FRA", "Ligue 1")</f>
        <v>Ligue 1</v>
      </c>
      <c r="B49" t="s">
        <v>686</v>
      </c>
      <c r="C49" t="s">
        <v>157</v>
      </c>
      <c r="D49">
        <v>12</v>
      </c>
      <c r="E49">
        <v>38</v>
      </c>
      <c r="F49">
        <v>12</v>
      </c>
      <c r="G49">
        <v>12</v>
      </c>
      <c r="H49">
        <v>14</v>
      </c>
      <c r="I49">
        <v>35</v>
      </c>
      <c r="J49">
        <v>37</v>
      </c>
      <c r="K49">
        <v>-2</v>
      </c>
      <c r="L49">
        <v>48</v>
      </c>
      <c r="M49">
        <v>1.26</v>
      </c>
      <c r="O49" t="s">
        <v>599</v>
      </c>
      <c r="P49" t="s">
        <v>600</v>
      </c>
    </row>
    <row r="50" spans="1:16" x14ac:dyDescent="0.2">
      <c r="A50" t="str" cm="1">
        <f t="array" ref="A50">_xlfn.IFS(C50="it ITA", "Serie A", C50="eng ENG", "Premier League", C50="de GER", "Bundesliga", C50="es ESP", "La Liga", C50="fr FRA", "Ligue 1")</f>
        <v>Bundesliga</v>
      </c>
      <c r="B50" t="s">
        <v>81</v>
      </c>
      <c r="C50" t="s">
        <v>160</v>
      </c>
      <c r="D50">
        <v>9</v>
      </c>
      <c r="E50">
        <v>34</v>
      </c>
      <c r="F50">
        <v>9</v>
      </c>
      <c r="G50">
        <v>16</v>
      </c>
      <c r="H50">
        <v>9</v>
      </c>
      <c r="I50">
        <v>37</v>
      </c>
      <c r="J50">
        <v>39</v>
      </c>
      <c r="K50">
        <v>-2</v>
      </c>
      <c r="L50">
        <v>43</v>
      </c>
      <c r="M50">
        <v>1.26</v>
      </c>
      <c r="O50" t="s">
        <v>601</v>
      </c>
      <c r="P50" t="s">
        <v>401</v>
      </c>
    </row>
    <row r="51" spans="1:16" x14ac:dyDescent="0.2">
      <c r="A51" t="str" cm="1">
        <f t="array" ref="A51">_xlfn.IFS(C51="it ITA", "Serie A", C51="eng ENG", "Premier League", C51="de GER", "Bundesliga", C51="es ESP", "La Liga", C51="fr FRA", "Ligue 1")</f>
        <v>Premier League</v>
      </c>
      <c r="B51" t="s">
        <v>516</v>
      </c>
      <c r="C51" t="s">
        <v>150</v>
      </c>
      <c r="D51">
        <v>12</v>
      </c>
      <c r="E51">
        <v>38</v>
      </c>
      <c r="F51">
        <v>14</v>
      </c>
      <c r="G51">
        <v>6</v>
      </c>
      <c r="H51">
        <v>18</v>
      </c>
      <c r="I51">
        <v>48</v>
      </c>
      <c r="J51">
        <v>58</v>
      </c>
      <c r="K51">
        <v>-10</v>
      </c>
      <c r="L51">
        <v>48</v>
      </c>
      <c r="M51">
        <v>1.26</v>
      </c>
      <c r="N51" s="1">
        <v>20662</v>
      </c>
      <c r="O51" t="s">
        <v>602</v>
      </c>
      <c r="P51" t="s">
        <v>603</v>
      </c>
    </row>
    <row r="52" spans="1:16" x14ac:dyDescent="0.2">
      <c r="A52" t="str" cm="1">
        <f t="array" ref="A52">_xlfn.IFS(C52="it ITA", "Serie A", C52="eng ENG", "Premier League", C52="de GER", "Bundesliga", C52="es ESP", "La Liga", C52="fr FRA", "Ligue 1")</f>
        <v>Bundesliga</v>
      </c>
      <c r="B52" t="s">
        <v>353</v>
      </c>
      <c r="C52" t="s">
        <v>160</v>
      </c>
      <c r="D52">
        <v>10</v>
      </c>
      <c r="E52">
        <v>34</v>
      </c>
      <c r="F52">
        <v>10</v>
      </c>
      <c r="G52">
        <v>12</v>
      </c>
      <c r="H52">
        <v>12</v>
      </c>
      <c r="I52">
        <v>42</v>
      </c>
      <c r="J52">
        <v>50</v>
      </c>
      <c r="K52">
        <v>-8</v>
      </c>
      <c r="L52">
        <v>42</v>
      </c>
      <c r="M52">
        <v>1.24</v>
      </c>
      <c r="O52" t="s">
        <v>604</v>
      </c>
      <c r="P52" t="s">
        <v>241</v>
      </c>
    </row>
    <row r="53" spans="1:16" x14ac:dyDescent="0.2">
      <c r="A53" t="str" cm="1">
        <f t="array" ref="A53">_xlfn.IFS(C53="it ITA", "Serie A", C53="eng ENG", "Premier League", C53="de GER", "Bundesliga", C53="es ESP", "La Liga", C53="fr FRA", "Ligue 1")</f>
        <v>Ligue 1</v>
      </c>
      <c r="B53" t="s">
        <v>92</v>
      </c>
      <c r="C53" t="s">
        <v>157</v>
      </c>
      <c r="D53">
        <v>13</v>
      </c>
      <c r="E53">
        <v>38</v>
      </c>
      <c r="F53">
        <v>11</v>
      </c>
      <c r="G53">
        <v>14</v>
      </c>
      <c r="H53">
        <v>13</v>
      </c>
      <c r="I53">
        <v>29</v>
      </c>
      <c r="J53">
        <v>39</v>
      </c>
      <c r="K53">
        <v>-10</v>
      </c>
      <c r="L53">
        <v>47</v>
      </c>
      <c r="M53">
        <v>1.24</v>
      </c>
      <c r="O53" t="s">
        <v>605</v>
      </c>
      <c r="P53" t="s">
        <v>606</v>
      </c>
    </row>
    <row r="54" spans="1:16" x14ac:dyDescent="0.2">
      <c r="A54" t="str" cm="1">
        <f t="array" ref="A54">_xlfn.IFS(C54="it ITA", "Serie A", C54="eng ENG", "Premier League", C54="de GER", "Bundesliga", C54="es ESP", "La Liga", C54="fr FRA", "Ligue 1")</f>
        <v>Premier League</v>
      </c>
      <c r="B54" t="s">
        <v>517</v>
      </c>
      <c r="C54" t="s">
        <v>150</v>
      </c>
      <c r="D54">
        <v>13</v>
      </c>
      <c r="E54">
        <v>38</v>
      </c>
      <c r="F54">
        <v>13</v>
      </c>
      <c r="G54">
        <v>8</v>
      </c>
      <c r="H54">
        <v>17</v>
      </c>
      <c r="I54">
        <v>41</v>
      </c>
      <c r="J54">
        <v>55</v>
      </c>
      <c r="K54">
        <v>-14</v>
      </c>
      <c r="L54">
        <v>47</v>
      </c>
      <c r="M54">
        <v>1.24</v>
      </c>
      <c r="N54" s="1">
        <v>26171</v>
      </c>
      <c r="O54" t="s">
        <v>607</v>
      </c>
      <c r="P54" t="s">
        <v>311</v>
      </c>
    </row>
    <row r="55" spans="1:16" x14ac:dyDescent="0.2">
      <c r="A55" t="str" cm="1">
        <f t="array" ref="A55">_xlfn.IFS(C55="it ITA", "Serie A", C55="eng ENG", "Premier League", C55="de GER", "Bundesliga", C55="es ESP", "La Liga", C55="fr FRA", "Ligue 1")</f>
        <v>La Liga</v>
      </c>
      <c r="B55" t="s">
        <v>118</v>
      </c>
      <c r="C55" t="s">
        <v>165</v>
      </c>
      <c r="D55">
        <v>11</v>
      </c>
      <c r="E55">
        <v>38</v>
      </c>
      <c r="F55">
        <v>10</v>
      </c>
      <c r="G55">
        <v>16</v>
      </c>
      <c r="H55">
        <v>12</v>
      </c>
      <c r="I55">
        <v>46</v>
      </c>
      <c r="J55">
        <v>51</v>
      </c>
      <c r="K55">
        <v>-5</v>
      </c>
      <c r="L55">
        <v>46</v>
      </c>
      <c r="M55">
        <v>1.21</v>
      </c>
      <c r="O55" t="s">
        <v>608</v>
      </c>
      <c r="P55" t="s">
        <v>245</v>
      </c>
    </row>
    <row r="56" spans="1:16" x14ac:dyDescent="0.2">
      <c r="A56" t="str" cm="1">
        <f t="array" ref="A56">_xlfn.IFS(C56="it ITA", "Serie A", C56="eng ENG", "Premier League", C56="de GER", "Bundesliga", C56="es ESP", "La Liga", C56="fr FRA", "Ligue 1")</f>
        <v>Ligue 1</v>
      </c>
      <c r="B56" t="s">
        <v>86</v>
      </c>
      <c r="C56" t="s">
        <v>157</v>
      </c>
      <c r="D56">
        <v>14</v>
      </c>
      <c r="E56">
        <v>38</v>
      </c>
      <c r="F56">
        <v>11</v>
      </c>
      <c r="G56">
        <v>12</v>
      </c>
      <c r="H56">
        <v>15</v>
      </c>
      <c r="I56">
        <v>37</v>
      </c>
      <c r="J56">
        <v>41</v>
      </c>
      <c r="K56">
        <v>-4</v>
      </c>
      <c r="L56">
        <v>45</v>
      </c>
      <c r="M56">
        <v>1.18</v>
      </c>
      <c r="O56" t="s">
        <v>609</v>
      </c>
      <c r="P56" t="s">
        <v>265</v>
      </c>
    </row>
    <row r="57" spans="1:16" x14ac:dyDescent="0.2">
      <c r="A57" t="str" cm="1">
        <f t="array" ref="A57">_xlfn.IFS(C57="it ITA", "Serie A", C57="eng ENG", "Premier League", C57="de GER", "Bundesliga", C57="es ESP", "La Liga", C57="fr FRA", "Ligue 1")</f>
        <v>La Liga</v>
      </c>
      <c r="B57" t="s">
        <v>342</v>
      </c>
      <c r="C57" t="s">
        <v>165</v>
      </c>
      <c r="D57">
        <v>12</v>
      </c>
      <c r="E57">
        <v>38</v>
      </c>
      <c r="F57">
        <v>11</v>
      </c>
      <c r="G57">
        <v>12</v>
      </c>
      <c r="H57">
        <v>15</v>
      </c>
      <c r="I57">
        <v>40</v>
      </c>
      <c r="J57">
        <v>46</v>
      </c>
      <c r="K57">
        <v>-6</v>
      </c>
      <c r="L57">
        <v>45</v>
      </c>
      <c r="M57">
        <v>1.18</v>
      </c>
      <c r="O57" t="s">
        <v>610</v>
      </c>
      <c r="P57" t="s">
        <v>413</v>
      </c>
    </row>
    <row r="58" spans="1:16" x14ac:dyDescent="0.2">
      <c r="A58" t="str" cm="1">
        <f t="array" ref="A58">_xlfn.IFS(C58="it ITA", "Serie A", C58="eng ENG", "Premier League", C58="de GER", "Bundesliga", C58="es ESP", "La Liga", C58="fr FRA", "Ligue 1")</f>
        <v>Premier League</v>
      </c>
      <c r="B58" t="s">
        <v>515</v>
      </c>
      <c r="C58" t="s">
        <v>150</v>
      </c>
      <c r="D58">
        <v>14</v>
      </c>
      <c r="E58">
        <v>38</v>
      </c>
      <c r="F58">
        <v>12</v>
      </c>
      <c r="G58">
        <v>9</v>
      </c>
      <c r="H58">
        <v>17</v>
      </c>
      <c r="I58">
        <v>48</v>
      </c>
      <c r="J58">
        <v>58</v>
      </c>
      <c r="K58">
        <v>-10</v>
      </c>
      <c r="L58">
        <v>45</v>
      </c>
      <c r="M58">
        <v>1.18</v>
      </c>
      <c r="N58" s="1">
        <v>28467</v>
      </c>
      <c r="O58" t="s">
        <v>611</v>
      </c>
      <c r="P58" t="s">
        <v>452</v>
      </c>
    </row>
    <row r="59" spans="1:16" x14ac:dyDescent="0.2">
      <c r="A59" t="str" cm="1">
        <f t="array" ref="A59">_xlfn.IFS(C59="it ITA", "Serie A", C59="eng ENG", "Premier League", C59="de GER", "Bundesliga", C59="es ESP", "La Liga", C59="fr FRA", "Ligue 1")</f>
        <v>Serie A</v>
      </c>
      <c r="B59" t="s">
        <v>122</v>
      </c>
      <c r="C59" t="s">
        <v>147</v>
      </c>
      <c r="D59">
        <v>8</v>
      </c>
      <c r="E59">
        <v>38</v>
      </c>
      <c r="F59">
        <v>13</v>
      </c>
      <c r="G59">
        <v>6</v>
      </c>
      <c r="H59">
        <v>19</v>
      </c>
      <c r="I59">
        <v>47</v>
      </c>
      <c r="J59">
        <v>61</v>
      </c>
      <c r="K59">
        <v>-14</v>
      </c>
      <c r="L59">
        <v>45</v>
      </c>
      <c r="M59">
        <v>1.18</v>
      </c>
      <c r="O59" t="s">
        <v>612</v>
      </c>
      <c r="P59" t="s">
        <v>613</v>
      </c>
    </row>
    <row r="60" spans="1:16" x14ac:dyDescent="0.2">
      <c r="A60" t="str" cm="1">
        <f t="array" ref="A60">_xlfn.IFS(C60="it ITA", "Serie A", C60="eng ENG", "Premier League", C60="de GER", "Bundesliga", C60="es ESP", "La Liga", C60="fr FRA", "Ligue 1")</f>
        <v>Serie A</v>
      </c>
      <c r="B60" t="s">
        <v>54</v>
      </c>
      <c r="C60" t="s">
        <v>147</v>
      </c>
      <c r="D60">
        <v>7</v>
      </c>
      <c r="E60">
        <v>38</v>
      </c>
      <c r="F60">
        <v>12</v>
      </c>
      <c r="G60">
        <v>9</v>
      </c>
      <c r="H60">
        <v>17</v>
      </c>
      <c r="I60">
        <v>46</v>
      </c>
      <c r="J60">
        <v>60</v>
      </c>
      <c r="K60">
        <v>-14</v>
      </c>
      <c r="L60">
        <v>45</v>
      </c>
      <c r="M60">
        <v>1.18</v>
      </c>
      <c r="O60" t="s">
        <v>614</v>
      </c>
      <c r="P60" t="s">
        <v>429</v>
      </c>
    </row>
    <row r="61" spans="1:16" x14ac:dyDescent="0.2">
      <c r="A61" t="str" cm="1">
        <f t="array" ref="A61">_xlfn.IFS(C61="it ITA", "Serie A", C61="eng ENG", "Premier League", C61="de GER", "Bundesliga", C61="es ESP", "La Liga", C61="fr FRA", "Ligue 1")</f>
        <v>Serie A</v>
      </c>
      <c r="B61" t="s">
        <v>123</v>
      </c>
      <c r="C61" t="s">
        <v>147</v>
      </c>
      <c r="D61">
        <v>9</v>
      </c>
      <c r="E61">
        <v>38</v>
      </c>
      <c r="F61">
        <v>22</v>
      </c>
      <c r="G61">
        <v>8</v>
      </c>
      <c r="H61">
        <v>8</v>
      </c>
      <c r="I61">
        <v>66</v>
      </c>
      <c r="J61">
        <v>41</v>
      </c>
      <c r="K61">
        <v>25</v>
      </c>
      <c r="L61">
        <v>44</v>
      </c>
      <c r="M61">
        <v>1.1599999999999999</v>
      </c>
      <c r="O61" t="s">
        <v>615</v>
      </c>
      <c r="P61" t="s">
        <v>333</v>
      </c>
    </row>
    <row r="62" spans="1:16" x14ac:dyDescent="0.2">
      <c r="A62" t="str" cm="1">
        <f t="array" ref="A62">_xlfn.IFS(C62="it ITA", "Serie A", C62="eng ENG", "Premier League", C62="de GER", "Bundesliga", C62="es ESP", "La Liga", C62="fr FRA", "Ligue 1")</f>
        <v>Ligue 1</v>
      </c>
      <c r="B62" t="s">
        <v>95</v>
      </c>
      <c r="C62" t="s">
        <v>157</v>
      </c>
      <c r="D62">
        <v>15</v>
      </c>
      <c r="E62">
        <v>38</v>
      </c>
      <c r="F62">
        <v>11</v>
      </c>
      <c r="G62">
        <v>11</v>
      </c>
      <c r="H62">
        <v>16</v>
      </c>
      <c r="I62">
        <v>34</v>
      </c>
      <c r="J62">
        <v>47</v>
      </c>
      <c r="K62">
        <v>-13</v>
      </c>
      <c r="L62">
        <v>44</v>
      </c>
      <c r="M62">
        <v>1.1599999999999999</v>
      </c>
      <c r="O62" t="s">
        <v>616</v>
      </c>
      <c r="P62" t="s">
        <v>307</v>
      </c>
    </row>
    <row r="63" spans="1:16" x14ac:dyDescent="0.2">
      <c r="A63" t="str" cm="1">
        <f t="array" ref="A63">_xlfn.IFS(C63="it ITA", "Serie A", C63="eng ENG", "Premier League", C63="de GER", "Bundesliga", C63="es ESP", "La Liga", C63="fr FRA", "Ligue 1")</f>
        <v>Premier League</v>
      </c>
      <c r="B63" t="s">
        <v>10</v>
      </c>
      <c r="C63" t="s">
        <v>150</v>
      </c>
      <c r="D63">
        <v>15</v>
      </c>
      <c r="E63">
        <v>38</v>
      </c>
      <c r="F63">
        <v>13</v>
      </c>
      <c r="G63">
        <v>4</v>
      </c>
      <c r="H63">
        <v>21</v>
      </c>
      <c r="I63">
        <v>43</v>
      </c>
      <c r="J63">
        <v>48</v>
      </c>
      <c r="K63">
        <v>-5</v>
      </c>
      <c r="L63">
        <v>43</v>
      </c>
      <c r="M63">
        <v>1.1299999999999999</v>
      </c>
      <c r="N63" s="1">
        <v>42856</v>
      </c>
      <c r="O63" t="s">
        <v>617</v>
      </c>
      <c r="P63" t="s">
        <v>177</v>
      </c>
    </row>
    <row r="64" spans="1:16" x14ac:dyDescent="0.2">
      <c r="A64" t="str" cm="1">
        <f t="array" ref="A64">_xlfn.IFS(C64="it ITA", "Serie A", C64="eng ENG", "Premier League", C64="de GER", "Bundesliga", C64="es ESP", "La Liga", C64="fr FRA", "Ligue 1")</f>
        <v>Serie A</v>
      </c>
      <c r="B64" t="s">
        <v>687</v>
      </c>
      <c r="C64" t="s">
        <v>147</v>
      </c>
      <c r="D64">
        <v>10</v>
      </c>
      <c r="E64">
        <v>38</v>
      </c>
      <c r="F64">
        <v>9</v>
      </c>
      <c r="G64">
        <v>16</v>
      </c>
      <c r="H64">
        <v>13</v>
      </c>
      <c r="I64">
        <v>43</v>
      </c>
      <c r="J64">
        <v>53</v>
      </c>
      <c r="K64">
        <v>-10</v>
      </c>
      <c r="L64">
        <v>43</v>
      </c>
      <c r="M64">
        <v>1.1299999999999999</v>
      </c>
      <c r="O64" t="s">
        <v>618</v>
      </c>
      <c r="P64" t="s">
        <v>619</v>
      </c>
    </row>
    <row r="65" spans="1:16" x14ac:dyDescent="0.2">
      <c r="A65" t="str" cm="1">
        <f t="array" ref="A65">_xlfn.IFS(C65="it ITA", "Serie A", C65="eng ENG", "Premier League", C65="de GER", "Bundesliga", C65="es ESP", "La Liga", C65="fr FRA", "Ligue 1")</f>
        <v>Serie A</v>
      </c>
      <c r="B65" t="s">
        <v>60</v>
      </c>
      <c r="C65" t="s">
        <v>147</v>
      </c>
      <c r="D65">
        <v>11</v>
      </c>
      <c r="E65">
        <v>38</v>
      </c>
      <c r="F65">
        <v>11</v>
      </c>
      <c r="G65">
        <v>10</v>
      </c>
      <c r="H65">
        <v>17</v>
      </c>
      <c r="I65">
        <v>40</v>
      </c>
      <c r="J65">
        <v>54</v>
      </c>
      <c r="K65">
        <v>-14</v>
      </c>
      <c r="L65">
        <v>43</v>
      </c>
      <c r="M65">
        <v>1.1299999999999999</v>
      </c>
      <c r="O65" t="s">
        <v>620</v>
      </c>
      <c r="P65" t="s">
        <v>621</v>
      </c>
    </row>
    <row r="66" spans="1:16" x14ac:dyDescent="0.2">
      <c r="A66" t="str" cm="1">
        <f t="array" ref="A66">_xlfn.IFS(C66="it ITA", "Serie A", C66="eng ENG", "Premier League", C66="de GER", "Bundesliga", C66="es ESP", "La Liga", C66="fr FRA", "Ligue 1")</f>
        <v>La Liga</v>
      </c>
      <c r="B66" t="s">
        <v>114</v>
      </c>
      <c r="C66" t="s">
        <v>165</v>
      </c>
      <c r="D66">
        <v>13</v>
      </c>
      <c r="E66">
        <v>38</v>
      </c>
      <c r="F66">
        <v>10</v>
      </c>
      <c r="G66">
        <v>13</v>
      </c>
      <c r="H66">
        <v>15</v>
      </c>
      <c r="I66">
        <v>37</v>
      </c>
      <c r="J66">
        <v>51</v>
      </c>
      <c r="K66">
        <v>-14</v>
      </c>
      <c r="L66">
        <v>43</v>
      </c>
      <c r="M66">
        <v>1.1299999999999999</v>
      </c>
      <c r="O66" t="s">
        <v>622</v>
      </c>
      <c r="P66" t="s">
        <v>209</v>
      </c>
    </row>
    <row r="67" spans="1:16" x14ac:dyDescent="0.2">
      <c r="A67" t="str" cm="1">
        <f t="array" ref="A67">_xlfn.IFS(C67="it ITA", "Serie A", C67="eng ENG", "Premier League", C67="de GER", "Bundesliga", C67="es ESP", "La Liga", C67="fr FRA", "Ligue 1")</f>
        <v>Bundesliga</v>
      </c>
      <c r="B67" t="s">
        <v>688</v>
      </c>
      <c r="C67" t="s">
        <v>160</v>
      </c>
      <c r="D67">
        <v>11</v>
      </c>
      <c r="E67">
        <v>34</v>
      </c>
      <c r="F67">
        <v>9</v>
      </c>
      <c r="G67">
        <v>11</v>
      </c>
      <c r="H67">
        <v>14</v>
      </c>
      <c r="I67">
        <v>46</v>
      </c>
      <c r="J67">
        <v>47</v>
      </c>
      <c r="K67">
        <v>-1</v>
      </c>
      <c r="L67">
        <v>38</v>
      </c>
      <c r="M67">
        <v>1.1200000000000001</v>
      </c>
      <c r="O67" t="s">
        <v>623</v>
      </c>
      <c r="P67" t="s">
        <v>624</v>
      </c>
    </row>
    <row r="68" spans="1:16" x14ac:dyDescent="0.2">
      <c r="A68" t="str" cm="1">
        <f t="array" ref="A68">_xlfn.IFS(C68="it ITA", "Serie A", C68="eng ENG", "Premier League", C68="de GER", "Bundesliga", C68="es ESP", "La Liga", C68="fr FRA", "Ligue 1")</f>
        <v>Bundesliga</v>
      </c>
      <c r="B68" t="s">
        <v>689</v>
      </c>
      <c r="C68" t="s">
        <v>160</v>
      </c>
      <c r="D68">
        <v>12</v>
      </c>
      <c r="E68">
        <v>34</v>
      </c>
      <c r="F68">
        <v>7</v>
      </c>
      <c r="G68">
        <v>17</v>
      </c>
      <c r="H68">
        <v>10</v>
      </c>
      <c r="I68">
        <v>43</v>
      </c>
      <c r="J68">
        <v>47</v>
      </c>
      <c r="K68">
        <v>-4</v>
      </c>
      <c r="L68">
        <v>38</v>
      </c>
      <c r="M68">
        <v>1.1200000000000001</v>
      </c>
      <c r="O68" t="s">
        <v>625</v>
      </c>
      <c r="P68" t="s">
        <v>626</v>
      </c>
    </row>
    <row r="69" spans="1:16" x14ac:dyDescent="0.2">
      <c r="A69" t="str" cm="1">
        <f t="array" ref="A69">_xlfn.IFS(C69="it ITA", "Serie A", C69="eng ENG", "Premier League", C69="de GER", "Bundesliga", C69="es ESP", "La Liga", C69="fr FRA", "Ligue 1")</f>
        <v>Premier League</v>
      </c>
      <c r="B69" t="s">
        <v>1</v>
      </c>
      <c r="C69" t="s">
        <v>150</v>
      </c>
      <c r="D69">
        <v>16</v>
      </c>
      <c r="E69">
        <v>38</v>
      </c>
      <c r="F69">
        <v>10</v>
      </c>
      <c r="G69">
        <v>12</v>
      </c>
      <c r="H69">
        <v>16</v>
      </c>
      <c r="I69">
        <v>42</v>
      </c>
      <c r="J69">
        <v>55</v>
      </c>
      <c r="K69">
        <v>-13</v>
      </c>
      <c r="L69">
        <v>42</v>
      </c>
      <c r="M69">
        <v>1.1100000000000001</v>
      </c>
      <c r="N69" s="1">
        <v>34112</v>
      </c>
      <c r="O69" t="s">
        <v>627</v>
      </c>
      <c r="P69" t="s">
        <v>477</v>
      </c>
    </row>
    <row r="70" spans="1:16" x14ac:dyDescent="0.2">
      <c r="A70" t="str" cm="1">
        <f t="array" ref="A70">_xlfn.IFS(C70="it ITA", "Serie A", C70="eng ENG", "Premier League", C70="de GER", "Bundesliga", C70="es ESP", "La Liga", C70="fr FRA", "Ligue 1")</f>
        <v>La Liga</v>
      </c>
      <c r="B70" t="s">
        <v>109</v>
      </c>
      <c r="C70" t="s">
        <v>165</v>
      </c>
      <c r="D70">
        <v>14</v>
      </c>
      <c r="E70">
        <v>38</v>
      </c>
      <c r="F70">
        <v>10</v>
      </c>
      <c r="G70">
        <v>12</v>
      </c>
      <c r="H70">
        <v>16</v>
      </c>
      <c r="I70">
        <v>34</v>
      </c>
      <c r="J70">
        <v>51</v>
      </c>
      <c r="K70">
        <v>-17</v>
      </c>
      <c r="L70">
        <v>42</v>
      </c>
      <c r="M70">
        <v>1.1100000000000001</v>
      </c>
      <c r="O70" t="s">
        <v>628</v>
      </c>
      <c r="P70" t="s">
        <v>629</v>
      </c>
    </row>
    <row r="71" spans="1:16" x14ac:dyDescent="0.2">
      <c r="A71" t="str" cm="1">
        <f t="array" ref="A71">_xlfn.IFS(C71="it ITA", "Serie A", C71="eng ENG", "Premier League", C71="de GER", "Bundesliga", C71="es ESP", "La Liga", C71="fr FRA", "Ligue 1")</f>
        <v>Bundesliga</v>
      </c>
      <c r="B71" t="s">
        <v>357</v>
      </c>
      <c r="C71" t="s">
        <v>160</v>
      </c>
      <c r="D71">
        <v>13</v>
      </c>
      <c r="E71">
        <v>34</v>
      </c>
      <c r="F71">
        <v>10</v>
      </c>
      <c r="G71">
        <v>7</v>
      </c>
      <c r="H71">
        <v>17</v>
      </c>
      <c r="I71">
        <v>32</v>
      </c>
      <c r="J71">
        <v>47</v>
      </c>
      <c r="K71">
        <v>-15</v>
      </c>
      <c r="L71">
        <v>37</v>
      </c>
      <c r="M71">
        <v>1.0900000000000001</v>
      </c>
      <c r="O71" t="s">
        <v>630</v>
      </c>
      <c r="P71" t="s">
        <v>631</v>
      </c>
    </row>
    <row r="72" spans="1:16" x14ac:dyDescent="0.2">
      <c r="A72" t="str" cm="1">
        <f t="array" ref="A72">_xlfn.IFS(C72="it ITA", "Serie A", C72="eng ENG", "Premier League", C72="de GER", "Bundesliga", C72="es ESP", "La Liga", C72="fr FRA", "Ligue 1")</f>
        <v>Serie A</v>
      </c>
      <c r="B72" t="s">
        <v>58</v>
      </c>
      <c r="C72" t="s">
        <v>147</v>
      </c>
      <c r="D72">
        <v>12</v>
      </c>
      <c r="E72">
        <v>38</v>
      </c>
      <c r="F72">
        <v>10</v>
      </c>
      <c r="G72">
        <v>11</v>
      </c>
      <c r="H72">
        <v>17</v>
      </c>
      <c r="I72">
        <v>47</v>
      </c>
      <c r="J72">
        <v>51</v>
      </c>
      <c r="K72">
        <v>-4</v>
      </c>
      <c r="L72">
        <v>41</v>
      </c>
      <c r="M72">
        <v>1.08</v>
      </c>
      <c r="O72" t="s">
        <v>632</v>
      </c>
      <c r="P72" t="s">
        <v>363</v>
      </c>
    </row>
    <row r="73" spans="1:16" x14ac:dyDescent="0.2">
      <c r="A73" t="str" cm="1">
        <f t="array" ref="A73">_xlfn.IFS(C73="it ITA", "Serie A", C73="eng ENG", "Premier League", C73="de GER", "Bundesliga", C73="es ESP", "La Liga", C73="fr FRA", "Ligue 1")</f>
        <v>Ligue 1</v>
      </c>
      <c r="B73" t="s">
        <v>103</v>
      </c>
      <c r="C73" t="s">
        <v>157</v>
      </c>
      <c r="D73">
        <v>16</v>
      </c>
      <c r="E73">
        <v>38</v>
      </c>
      <c r="F73">
        <v>10</v>
      </c>
      <c r="G73">
        <v>11</v>
      </c>
      <c r="H73">
        <v>17</v>
      </c>
      <c r="I73">
        <v>36</v>
      </c>
      <c r="J73">
        <v>47</v>
      </c>
      <c r="K73">
        <v>-11</v>
      </c>
      <c r="L73">
        <v>41</v>
      </c>
      <c r="M73">
        <v>1.08</v>
      </c>
      <c r="O73" t="s">
        <v>633</v>
      </c>
      <c r="P73" t="s">
        <v>223</v>
      </c>
    </row>
    <row r="74" spans="1:16" x14ac:dyDescent="0.2">
      <c r="A74" t="str" cm="1">
        <f t="array" ref="A74">_xlfn.IFS(C74="it ITA", "Serie A", C74="eng ENG", "Premier League", C74="de GER", "Bundesliga", C74="es ESP", "La Liga", C74="fr FRA", "Ligue 1")</f>
        <v>La Liga</v>
      </c>
      <c r="B74" t="s">
        <v>112</v>
      </c>
      <c r="C74" t="s">
        <v>165</v>
      </c>
      <c r="D74">
        <v>15</v>
      </c>
      <c r="E74">
        <v>38</v>
      </c>
      <c r="F74">
        <v>10</v>
      </c>
      <c r="G74">
        <v>11</v>
      </c>
      <c r="H74">
        <v>17</v>
      </c>
      <c r="I74">
        <v>36</v>
      </c>
      <c r="J74">
        <v>56</v>
      </c>
      <c r="K74">
        <v>-20</v>
      </c>
      <c r="L74">
        <v>41</v>
      </c>
      <c r="M74">
        <v>1.08</v>
      </c>
      <c r="O74" t="s">
        <v>634</v>
      </c>
      <c r="P74" t="s">
        <v>635</v>
      </c>
    </row>
    <row r="75" spans="1:16" x14ac:dyDescent="0.2">
      <c r="A75" t="str" cm="1">
        <f t="array" ref="A75">_xlfn.IFS(C75="it ITA", "Serie A", C75="eng ENG", "Premier League", C75="de GER", "Bundesliga", C75="es ESP", "La Liga", C75="fr FRA", "Ligue 1")</f>
        <v>Serie A</v>
      </c>
      <c r="B75" t="s">
        <v>690</v>
      </c>
      <c r="C75" t="s">
        <v>147</v>
      </c>
      <c r="D75">
        <v>13</v>
      </c>
      <c r="E75">
        <v>38</v>
      </c>
      <c r="F75">
        <v>11</v>
      </c>
      <c r="G75">
        <v>8</v>
      </c>
      <c r="H75">
        <v>19</v>
      </c>
      <c r="I75">
        <v>39</v>
      </c>
      <c r="J75">
        <v>65</v>
      </c>
      <c r="K75">
        <v>-26</v>
      </c>
      <c r="L75">
        <v>41</v>
      </c>
      <c r="M75">
        <v>1.08</v>
      </c>
      <c r="O75" t="s">
        <v>636</v>
      </c>
      <c r="P75" t="s">
        <v>637</v>
      </c>
    </row>
    <row r="76" spans="1:16" x14ac:dyDescent="0.2">
      <c r="A76" t="str" cm="1">
        <f t="array" ref="A76">_xlfn.IFS(C76="it ITA", "Serie A", C76="eng ENG", "Premier League", C76="de GER", "Bundesliga", C76="es ESP", "La Liga", C76="fr FRA", "Ligue 1")</f>
        <v>Bundesliga</v>
      </c>
      <c r="B76" t="s">
        <v>691</v>
      </c>
      <c r="C76" t="s">
        <v>160</v>
      </c>
      <c r="D76">
        <v>14</v>
      </c>
      <c r="E76">
        <v>34</v>
      </c>
      <c r="F76">
        <v>9</v>
      </c>
      <c r="G76">
        <v>9</v>
      </c>
      <c r="H76">
        <v>16</v>
      </c>
      <c r="I76">
        <v>42</v>
      </c>
      <c r="J76">
        <v>51</v>
      </c>
      <c r="K76">
        <v>-9</v>
      </c>
      <c r="L76">
        <v>36</v>
      </c>
      <c r="M76">
        <v>1.06</v>
      </c>
      <c r="O76" t="s">
        <v>638</v>
      </c>
      <c r="P76" t="s">
        <v>639</v>
      </c>
    </row>
    <row r="77" spans="1:16" x14ac:dyDescent="0.2">
      <c r="A77" t="str" cm="1">
        <f t="array" ref="A77">_xlfn.IFS(C77="it ITA", "Serie A", C77="eng ENG", "Premier League", C77="de GER", "Bundesliga", C77="es ESP", "La Liga", C77="fr FRA", "Ligue 1")</f>
        <v>La Liga</v>
      </c>
      <c r="B77" t="s">
        <v>348</v>
      </c>
      <c r="C77" t="s">
        <v>165</v>
      </c>
      <c r="D77">
        <v>17</v>
      </c>
      <c r="E77">
        <v>38</v>
      </c>
      <c r="F77">
        <v>9</v>
      </c>
      <c r="G77">
        <v>13</v>
      </c>
      <c r="H77">
        <v>16</v>
      </c>
      <c r="I77">
        <v>36</v>
      </c>
      <c r="J77">
        <v>49</v>
      </c>
      <c r="K77">
        <v>-13</v>
      </c>
      <c r="L77">
        <v>40</v>
      </c>
      <c r="M77">
        <v>1.05</v>
      </c>
      <c r="O77" t="s">
        <v>640</v>
      </c>
      <c r="P77" t="s">
        <v>641</v>
      </c>
    </row>
    <row r="78" spans="1:16" x14ac:dyDescent="0.2">
      <c r="A78" t="str" cm="1">
        <f t="array" ref="A78">_xlfn.IFS(C78="it ITA", "Serie A", C78="eng ENG", "Premier League", C78="de GER", "Bundesliga", C78="es ESP", "La Liga", C78="fr FRA", "Ligue 1")</f>
        <v>La Liga</v>
      </c>
      <c r="B78" t="s">
        <v>32</v>
      </c>
      <c r="C78" t="s">
        <v>165</v>
      </c>
      <c r="D78">
        <v>16</v>
      </c>
      <c r="E78">
        <v>38</v>
      </c>
      <c r="F78">
        <v>11</v>
      </c>
      <c r="G78">
        <v>7</v>
      </c>
      <c r="H78">
        <v>20</v>
      </c>
      <c r="I78">
        <v>48</v>
      </c>
      <c r="J78">
        <v>65</v>
      </c>
      <c r="K78">
        <v>-17</v>
      </c>
      <c r="L78">
        <v>40</v>
      </c>
      <c r="M78">
        <v>1.05</v>
      </c>
      <c r="O78" t="s">
        <v>642</v>
      </c>
      <c r="P78" t="s">
        <v>643</v>
      </c>
    </row>
    <row r="79" spans="1:16" x14ac:dyDescent="0.2">
      <c r="A79" t="str" cm="1">
        <f t="array" ref="A79">_xlfn.IFS(C79="it ITA", "Serie A", C79="eng ENG", "Premier League", C79="de GER", "Bundesliga", C79="es ESP", "La Liga", C79="fr FRA", "Ligue 1")</f>
        <v>Ligue 1</v>
      </c>
      <c r="B79" t="s">
        <v>513</v>
      </c>
      <c r="C79" t="s">
        <v>157</v>
      </c>
      <c r="D79">
        <v>17</v>
      </c>
      <c r="E79">
        <v>38</v>
      </c>
      <c r="F79">
        <v>9</v>
      </c>
      <c r="G79">
        <v>12</v>
      </c>
      <c r="H79">
        <v>17</v>
      </c>
      <c r="I79">
        <v>37</v>
      </c>
      <c r="J79">
        <v>47</v>
      </c>
      <c r="K79">
        <v>-10</v>
      </c>
      <c r="L79">
        <v>39</v>
      </c>
      <c r="M79">
        <v>1.03</v>
      </c>
      <c r="O79" t="s">
        <v>644</v>
      </c>
      <c r="P79" t="s">
        <v>645</v>
      </c>
    </row>
    <row r="80" spans="1:16" x14ac:dyDescent="0.2">
      <c r="A80" t="str" cm="1">
        <f t="array" ref="A80">_xlfn.IFS(C80="it ITA", "Serie A", C80="eng ENG", "Premier League", C80="de GER", "Bundesliga", C80="es ESP", "La Liga", C80="fr FRA", "Ligue 1")</f>
        <v>Serie A</v>
      </c>
      <c r="B80" t="s">
        <v>44</v>
      </c>
      <c r="C80" t="s">
        <v>147</v>
      </c>
      <c r="D80">
        <v>14</v>
      </c>
      <c r="E80">
        <v>38</v>
      </c>
      <c r="F80">
        <v>8</v>
      </c>
      <c r="G80">
        <v>15</v>
      </c>
      <c r="H80">
        <v>15</v>
      </c>
      <c r="I80">
        <v>42</v>
      </c>
      <c r="J80">
        <v>55</v>
      </c>
      <c r="K80">
        <v>-13</v>
      </c>
      <c r="L80">
        <v>39</v>
      </c>
      <c r="M80">
        <v>1.03</v>
      </c>
      <c r="O80" t="s">
        <v>646</v>
      </c>
      <c r="P80" t="s">
        <v>499</v>
      </c>
    </row>
    <row r="81" spans="1:16" x14ac:dyDescent="0.2">
      <c r="A81" t="str" cm="1">
        <f t="array" ref="A81">_xlfn.IFS(C81="it ITA", "Serie A", C81="eng ENG", "Premier League", C81="de GER", "Bundesliga", C81="es ESP", "La Liga", C81="fr FRA", "Ligue 1")</f>
        <v>Serie A</v>
      </c>
      <c r="B81" t="s">
        <v>692</v>
      </c>
      <c r="C81" t="s">
        <v>147</v>
      </c>
      <c r="D81">
        <v>15</v>
      </c>
      <c r="E81">
        <v>38</v>
      </c>
      <c r="F81">
        <v>9</v>
      </c>
      <c r="G81">
        <v>12</v>
      </c>
      <c r="H81">
        <v>17</v>
      </c>
      <c r="I81">
        <v>42</v>
      </c>
      <c r="J81">
        <v>60</v>
      </c>
      <c r="K81">
        <v>-18</v>
      </c>
      <c r="L81">
        <v>39</v>
      </c>
      <c r="M81">
        <v>1.03</v>
      </c>
      <c r="O81" t="s">
        <v>647</v>
      </c>
      <c r="P81" t="s">
        <v>648</v>
      </c>
    </row>
    <row r="82" spans="1:16" x14ac:dyDescent="0.2">
      <c r="A82" t="str" cm="1">
        <f t="array" ref="A82">_xlfn.IFS(C82="it ITA", "Serie A", C82="eng ENG", "Premier League", C82="de GER", "Bundesliga", C82="es ESP", "La Liga", C82="fr FRA", "Ligue 1")</f>
        <v>La Liga</v>
      </c>
      <c r="B82" t="s">
        <v>511</v>
      </c>
      <c r="C82" t="s">
        <v>165</v>
      </c>
      <c r="D82">
        <v>18</v>
      </c>
      <c r="E82">
        <v>38</v>
      </c>
      <c r="F82">
        <v>9</v>
      </c>
      <c r="G82">
        <v>12</v>
      </c>
      <c r="H82">
        <v>17</v>
      </c>
      <c r="I82">
        <v>35</v>
      </c>
      <c r="J82">
        <v>54</v>
      </c>
      <c r="K82">
        <v>-19</v>
      </c>
      <c r="L82">
        <v>39</v>
      </c>
      <c r="M82">
        <v>1.03</v>
      </c>
      <c r="O82" t="s">
        <v>649</v>
      </c>
      <c r="P82" t="s">
        <v>650</v>
      </c>
    </row>
    <row r="83" spans="1:16" x14ac:dyDescent="0.2">
      <c r="A83" t="str" cm="1">
        <f t="array" ref="A83">_xlfn.IFS(C83="it ITA", "Serie A", C83="eng ENG", "Premier League", C83="de GER", "Bundesliga", C83="es ESP", "La Liga", C83="fr FRA", "Ligue 1")</f>
        <v>Bundesliga</v>
      </c>
      <c r="B83" t="s">
        <v>352</v>
      </c>
      <c r="C83" t="s">
        <v>160</v>
      </c>
      <c r="D83">
        <v>15</v>
      </c>
      <c r="E83">
        <v>34</v>
      </c>
      <c r="F83">
        <v>7</v>
      </c>
      <c r="G83">
        <v>13</v>
      </c>
      <c r="H83">
        <v>14</v>
      </c>
      <c r="I83">
        <v>33</v>
      </c>
      <c r="J83">
        <v>55</v>
      </c>
      <c r="K83">
        <v>-22</v>
      </c>
      <c r="L83">
        <v>34</v>
      </c>
      <c r="M83">
        <v>1</v>
      </c>
      <c r="O83" t="s">
        <v>651</v>
      </c>
      <c r="P83" t="s">
        <v>404</v>
      </c>
    </row>
    <row r="84" spans="1:16" x14ac:dyDescent="0.2">
      <c r="A84" t="str" cm="1">
        <f t="array" ref="A84">_xlfn.IFS(C84="it ITA", "Serie A", C84="eng ENG", "Premier League", C84="de GER", "Bundesliga", C84="es ESP", "La Liga", C84="fr FRA", "Ligue 1")</f>
        <v>Premier League</v>
      </c>
      <c r="B84" t="s">
        <v>693</v>
      </c>
      <c r="C84" t="s">
        <v>150</v>
      </c>
      <c r="D84">
        <v>17</v>
      </c>
      <c r="E84">
        <v>38</v>
      </c>
      <c r="F84">
        <v>10</v>
      </c>
      <c r="G84">
        <v>8</v>
      </c>
      <c r="H84">
        <v>20</v>
      </c>
      <c r="I84">
        <v>37</v>
      </c>
      <c r="J84">
        <v>62</v>
      </c>
      <c r="K84">
        <v>-25</v>
      </c>
      <c r="L84">
        <v>38</v>
      </c>
      <c r="M84">
        <v>1</v>
      </c>
      <c r="N84" s="1">
        <v>19868</v>
      </c>
      <c r="O84" t="s">
        <v>652</v>
      </c>
      <c r="P84" t="s">
        <v>653</v>
      </c>
    </row>
    <row r="85" spans="1:16" x14ac:dyDescent="0.2">
      <c r="A85" t="str" cm="1">
        <f t="array" ref="A85">_xlfn.IFS(C85="it ITA", "Serie A", C85="eng ENG", "Premier League", C85="de GER", "Bundesliga", C85="es ESP", "La Liga", C85="fr FRA", "Ligue 1")</f>
        <v>Bundesliga</v>
      </c>
      <c r="B85" t="s">
        <v>73</v>
      </c>
      <c r="C85" t="s">
        <v>160</v>
      </c>
      <c r="D85">
        <v>16</v>
      </c>
      <c r="E85">
        <v>34</v>
      </c>
      <c r="F85">
        <v>8</v>
      </c>
      <c r="G85">
        <v>9</v>
      </c>
      <c r="H85">
        <v>17</v>
      </c>
      <c r="I85">
        <v>47</v>
      </c>
      <c r="J85">
        <v>71</v>
      </c>
      <c r="K85">
        <v>-24</v>
      </c>
      <c r="L85">
        <v>33</v>
      </c>
      <c r="M85">
        <v>0.97</v>
      </c>
      <c r="O85" t="s">
        <v>654</v>
      </c>
      <c r="P85" t="s">
        <v>655</v>
      </c>
    </row>
    <row r="86" spans="1:16" x14ac:dyDescent="0.2">
      <c r="A86" t="str" cm="1">
        <f t="array" ref="A86">_xlfn.IFS(C86="it ITA", "Serie A", C86="eng ENG", "Premier League", C86="de GER", "Bundesliga", C86="es ESP", "La Liga", C86="fr FRA", "Ligue 1")</f>
        <v>La Liga</v>
      </c>
      <c r="B86" t="s">
        <v>694</v>
      </c>
      <c r="C86" t="s">
        <v>165</v>
      </c>
      <c r="D86">
        <v>19</v>
      </c>
      <c r="E86">
        <v>38</v>
      </c>
      <c r="F86">
        <v>8</v>
      </c>
      <c r="G86">
        <v>12</v>
      </c>
      <c r="H86">
        <v>18</v>
      </c>
      <c r="I86">
        <v>36</v>
      </c>
      <c r="J86">
        <v>52</v>
      </c>
      <c r="K86">
        <v>-16</v>
      </c>
      <c r="L86">
        <v>36</v>
      </c>
      <c r="M86">
        <v>0.95</v>
      </c>
      <c r="O86" t="s">
        <v>656</v>
      </c>
      <c r="P86" t="s">
        <v>657</v>
      </c>
    </row>
    <row r="87" spans="1:16" x14ac:dyDescent="0.2">
      <c r="A87" t="str" cm="1">
        <f t="array" ref="A87">_xlfn.IFS(C87="it ITA", "Serie A", C87="eng ENG", "Premier League", C87="de GER", "Bundesliga", C87="es ESP", "La Liga", C87="fr FRA", "Ligue 1")</f>
        <v>Premier League</v>
      </c>
      <c r="B87" t="s">
        <v>695</v>
      </c>
      <c r="C87" t="s">
        <v>150</v>
      </c>
      <c r="D87">
        <v>18</v>
      </c>
      <c r="E87">
        <v>38</v>
      </c>
      <c r="F87">
        <v>8</v>
      </c>
      <c r="G87">
        <v>10</v>
      </c>
      <c r="H87">
        <v>20</v>
      </c>
      <c r="I87">
        <v>28</v>
      </c>
      <c r="J87">
        <v>50</v>
      </c>
      <c r="K87">
        <v>-22</v>
      </c>
      <c r="L87">
        <v>34</v>
      </c>
      <c r="M87">
        <v>0.89</v>
      </c>
      <c r="N87" s="1">
        <v>27390</v>
      </c>
      <c r="O87" t="s">
        <v>658</v>
      </c>
      <c r="P87" t="s">
        <v>659</v>
      </c>
    </row>
    <row r="88" spans="1:16" x14ac:dyDescent="0.2">
      <c r="A88" t="str" cm="1">
        <f t="array" ref="A88">_xlfn.IFS(C88="it ITA", "Serie A", C88="eng ENG", "Premier League", C88="de GER", "Bundesliga", C88="es ESP", "La Liga", C88="fr FRA", "Ligue 1")</f>
        <v>Bundesliga</v>
      </c>
      <c r="B88" t="s">
        <v>355</v>
      </c>
      <c r="C88" t="s">
        <v>160</v>
      </c>
      <c r="D88">
        <v>17</v>
      </c>
      <c r="E88">
        <v>34</v>
      </c>
      <c r="F88">
        <v>7</v>
      </c>
      <c r="G88">
        <v>9</v>
      </c>
      <c r="H88">
        <v>18</v>
      </c>
      <c r="I88">
        <v>49</v>
      </c>
      <c r="J88">
        <v>71</v>
      </c>
      <c r="K88">
        <v>-22</v>
      </c>
      <c r="L88">
        <v>30</v>
      </c>
      <c r="M88">
        <v>0.88</v>
      </c>
      <c r="O88" t="s">
        <v>660</v>
      </c>
      <c r="P88" t="s">
        <v>661</v>
      </c>
    </row>
    <row r="89" spans="1:16" x14ac:dyDescent="0.2">
      <c r="A89" t="str" cm="1">
        <f t="array" ref="A89">_xlfn.IFS(C89="it ITA", "Serie A", C89="eng ENG", "Premier League", C89="de GER", "Bundesliga", C89="es ESP", "La Liga", C89="fr FRA", "Ligue 1")</f>
        <v>Ligue 1</v>
      </c>
      <c r="B89" t="s">
        <v>696</v>
      </c>
      <c r="C89" t="s">
        <v>157</v>
      </c>
      <c r="D89">
        <v>18</v>
      </c>
      <c r="E89">
        <v>38</v>
      </c>
      <c r="F89">
        <v>8</v>
      </c>
      <c r="G89">
        <v>9</v>
      </c>
      <c r="H89">
        <v>21</v>
      </c>
      <c r="I89">
        <v>27</v>
      </c>
      <c r="J89">
        <v>53</v>
      </c>
      <c r="K89">
        <v>-26</v>
      </c>
      <c r="L89">
        <v>33</v>
      </c>
      <c r="M89">
        <v>0.87</v>
      </c>
      <c r="O89" t="s">
        <v>662</v>
      </c>
      <c r="P89" t="s">
        <v>663</v>
      </c>
    </row>
    <row r="90" spans="1:16" x14ac:dyDescent="0.2">
      <c r="A90" t="str" cm="1">
        <f t="array" ref="A90">_xlfn.IFS(C90="it ITA", "Serie A", C90="eng ENG", "Premier League", C90="de GER", "Bundesliga", C90="es ESP", "La Liga", C90="fr FRA", "Ligue 1")</f>
        <v>Serie A</v>
      </c>
      <c r="B90" t="s">
        <v>50</v>
      </c>
      <c r="C90" t="s">
        <v>147</v>
      </c>
      <c r="D90">
        <v>16</v>
      </c>
      <c r="E90">
        <v>38</v>
      </c>
      <c r="F90">
        <v>16</v>
      </c>
      <c r="G90">
        <v>14</v>
      </c>
      <c r="H90">
        <v>8</v>
      </c>
      <c r="I90">
        <v>57</v>
      </c>
      <c r="J90">
        <v>47</v>
      </c>
      <c r="K90">
        <v>10</v>
      </c>
      <c r="L90">
        <v>32</v>
      </c>
      <c r="M90">
        <v>0.84</v>
      </c>
      <c r="O90" t="s">
        <v>664</v>
      </c>
      <c r="P90" t="s">
        <v>149</v>
      </c>
    </row>
    <row r="91" spans="1:16" x14ac:dyDescent="0.2">
      <c r="A91" t="str" cm="1">
        <f t="array" ref="A91">_xlfn.IFS(C91="it ITA", "Serie A", C91="eng ENG", "Premier League", C91="de GER", "Bundesliga", C91="es ESP", "La Liga", C91="fr FRA", "Ligue 1")</f>
        <v>Serie A</v>
      </c>
      <c r="B91" t="s">
        <v>697</v>
      </c>
      <c r="C91" t="s">
        <v>147</v>
      </c>
      <c r="D91">
        <v>17</v>
      </c>
      <c r="E91">
        <v>38</v>
      </c>
      <c r="F91">
        <v>6</v>
      </c>
      <c r="G91">
        <v>13</v>
      </c>
      <c r="H91">
        <v>19</v>
      </c>
      <c r="I91">
        <v>33</v>
      </c>
      <c r="J91">
        <v>59</v>
      </c>
      <c r="K91">
        <v>-26</v>
      </c>
      <c r="L91">
        <v>31</v>
      </c>
      <c r="M91">
        <v>0.82</v>
      </c>
      <c r="O91" t="s">
        <v>665</v>
      </c>
      <c r="P91" t="s">
        <v>666</v>
      </c>
    </row>
    <row r="92" spans="1:16" x14ac:dyDescent="0.2">
      <c r="A92" t="str" cm="1">
        <f t="array" ref="A92">_xlfn.IFS(C92="it ITA", "Serie A", C92="eng ENG", "Premier League", C92="de GER", "Bundesliga", C92="es ESP", "La Liga", C92="fr FRA", "Ligue 1")</f>
        <v>Premier League</v>
      </c>
      <c r="B92" t="s">
        <v>698</v>
      </c>
      <c r="C92" t="s">
        <v>150</v>
      </c>
      <c r="D92">
        <v>19</v>
      </c>
      <c r="E92">
        <v>38</v>
      </c>
      <c r="F92">
        <v>7</v>
      </c>
      <c r="G92">
        <v>9</v>
      </c>
      <c r="H92">
        <v>22</v>
      </c>
      <c r="I92">
        <v>31</v>
      </c>
      <c r="J92">
        <v>58</v>
      </c>
      <c r="K92">
        <v>-27</v>
      </c>
      <c r="L92">
        <v>30</v>
      </c>
      <c r="M92">
        <v>0.79</v>
      </c>
      <c r="N92" s="1">
        <v>25203</v>
      </c>
      <c r="O92" t="s">
        <v>667</v>
      </c>
      <c r="P92" t="s">
        <v>668</v>
      </c>
    </row>
    <row r="93" spans="1:16" x14ac:dyDescent="0.2">
      <c r="A93" t="str" cm="1">
        <f t="array" ref="A93">_xlfn.IFS(C93="it ITA", "Serie A", C93="eng ENG", "Premier League", C93="de GER", "Bundesliga", C93="es ESP", "La Liga", C93="fr FRA", "Ligue 1")</f>
        <v>Bundesliga</v>
      </c>
      <c r="B93" t="s">
        <v>77</v>
      </c>
      <c r="C93" t="s">
        <v>160</v>
      </c>
      <c r="D93">
        <v>18</v>
      </c>
      <c r="E93">
        <v>34</v>
      </c>
      <c r="F93">
        <v>5</v>
      </c>
      <c r="G93">
        <v>12</v>
      </c>
      <c r="H93">
        <v>17</v>
      </c>
      <c r="I93">
        <v>34</v>
      </c>
      <c r="J93">
        <v>63</v>
      </c>
      <c r="K93">
        <v>-29</v>
      </c>
      <c r="L93">
        <v>27</v>
      </c>
      <c r="M93">
        <v>0.79</v>
      </c>
      <c r="O93" t="s">
        <v>669</v>
      </c>
      <c r="P93" t="s">
        <v>323</v>
      </c>
    </row>
    <row r="94" spans="1:16" x14ac:dyDescent="0.2">
      <c r="A94" t="str" cm="1">
        <f t="array" ref="A94">_xlfn.IFS(C94="it ITA", "Serie A", C94="eng ENG", "Premier League", C94="de GER", "Bundesliga", C94="es ESP", "La Liga", C94="fr FRA", "Ligue 1")</f>
        <v>Ligue 1</v>
      </c>
      <c r="B94" t="s">
        <v>94</v>
      </c>
      <c r="C94" t="s">
        <v>157</v>
      </c>
      <c r="D94">
        <v>19</v>
      </c>
      <c r="E94">
        <v>38</v>
      </c>
      <c r="F94">
        <v>5</v>
      </c>
      <c r="G94">
        <v>14</v>
      </c>
      <c r="H94">
        <v>19</v>
      </c>
      <c r="I94">
        <v>33</v>
      </c>
      <c r="J94">
        <v>56</v>
      </c>
      <c r="K94">
        <v>-23</v>
      </c>
      <c r="L94">
        <v>29</v>
      </c>
      <c r="M94">
        <v>0.76</v>
      </c>
      <c r="O94" t="s">
        <v>670</v>
      </c>
      <c r="P94" t="s">
        <v>247</v>
      </c>
    </row>
    <row r="95" spans="1:16" x14ac:dyDescent="0.2">
      <c r="A95" t="str" cm="1">
        <f t="array" ref="A95">_xlfn.IFS(C95="it ITA", "Serie A", C95="eng ENG", "Premier League", C95="de GER", "Bundesliga", C95="es ESP", "La Liga", C95="fr FRA", "Ligue 1")</f>
        <v>Serie A</v>
      </c>
      <c r="B95" t="s">
        <v>51</v>
      </c>
      <c r="C95" t="s">
        <v>147</v>
      </c>
      <c r="D95">
        <v>18</v>
      </c>
      <c r="E95">
        <v>38</v>
      </c>
      <c r="F95">
        <v>7</v>
      </c>
      <c r="G95">
        <v>8</v>
      </c>
      <c r="H95">
        <v>23</v>
      </c>
      <c r="I95">
        <v>30</v>
      </c>
      <c r="J95">
        <v>57</v>
      </c>
      <c r="K95">
        <v>-27</v>
      </c>
      <c r="L95">
        <v>29</v>
      </c>
      <c r="M95">
        <v>0.76</v>
      </c>
      <c r="O95" t="s">
        <v>671</v>
      </c>
      <c r="P95" t="s">
        <v>672</v>
      </c>
    </row>
    <row r="96" spans="1:16" x14ac:dyDescent="0.2">
      <c r="A96" t="str" cm="1">
        <f t="array" ref="A96">_xlfn.IFS(C96="it ITA", "Serie A", C96="eng ENG", "Premier League", C96="de GER", "Bundesliga", C96="es ESP", "La Liga", C96="fr FRA", "Ligue 1")</f>
        <v>Ligue 1</v>
      </c>
      <c r="B96" t="s">
        <v>93</v>
      </c>
      <c r="C96" t="s">
        <v>157</v>
      </c>
      <c r="D96">
        <v>20</v>
      </c>
      <c r="E96">
        <v>38</v>
      </c>
      <c r="F96">
        <v>6</v>
      </c>
      <c r="G96">
        <v>11</v>
      </c>
      <c r="H96">
        <v>21</v>
      </c>
      <c r="I96">
        <v>26</v>
      </c>
      <c r="J96">
        <v>59</v>
      </c>
      <c r="K96">
        <v>-33</v>
      </c>
      <c r="L96">
        <v>29</v>
      </c>
      <c r="M96">
        <v>0.76</v>
      </c>
      <c r="O96" t="s">
        <v>673</v>
      </c>
      <c r="P96" t="s">
        <v>390</v>
      </c>
    </row>
    <row r="97" spans="1:16" x14ac:dyDescent="0.2">
      <c r="A97" t="str" cm="1">
        <f t="array" ref="A97">_xlfn.IFS(C97="it ITA", "Serie A", C97="eng ENG", "Premier League", C97="de GER", "Bundesliga", C97="es ESP", "La Liga", C97="fr FRA", "Ligue 1")</f>
        <v>La Liga</v>
      </c>
      <c r="B97" t="s">
        <v>512</v>
      </c>
      <c r="C97" t="s">
        <v>165</v>
      </c>
      <c r="D97">
        <v>20</v>
      </c>
      <c r="E97">
        <v>38</v>
      </c>
      <c r="F97">
        <v>5</v>
      </c>
      <c r="G97">
        <v>9</v>
      </c>
      <c r="H97">
        <v>24</v>
      </c>
      <c r="I97">
        <v>36</v>
      </c>
      <c r="J97">
        <v>68</v>
      </c>
      <c r="K97">
        <v>-32</v>
      </c>
      <c r="L97">
        <v>24</v>
      </c>
      <c r="M97">
        <v>0.63</v>
      </c>
      <c r="O97" t="s">
        <v>674</v>
      </c>
      <c r="P97" t="s">
        <v>675</v>
      </c>
    </row>
    <row r="98" spans="1:16" x14ac:dyDescent="0.2">
      <c r="A98" t="str" cm="1">
        <f t="array" ref="A98">_xlfn.IFS(C98="it ITA", "Serie A", C98="eng ENG", "Premier League", C98="de GER", "Bundesliga", C98="es ESP", "La Liga", C98="fr FRA", "Ligue 1")</f>
        <v>Serie A</v>
      </c>
      <c r="B98" t="s">
        <v>699</v>
      </c>
      <c r="C98" t="s">
        <v>147</v>
      </c>
      <c r="D98">
        <v>19</v>
      </c>
      <c r="E98">
        <v>38</v>
      </c>
      <c r="F98">
        <v>3</v>
      </c>
      <c r="G98">
        <v>12</v>
      </c>
      <c r="H98">
        <v>23</v>
      </c>
      <c r="I98">
        <v>24</v>
      </c>
      <c r="J98">
        <v>56</v>
      </c>
      <c r="K98">
        <v>-32</v>
      </c>
      <c r="L98">
        <v>21</v>
      </c>
      <c r="M98">
        <v>0.55000000000000004</v>
      </c>
      <c r="O98" t="s">
        <v>676</v>
      </c>
      <c r="P98" t="s">
        <v>677</v>
      </c>
    </row>
    <row r="99" spans="1:16" x14ac:dyDescent="0.2">
      <c r="A99" t="str" cm="1">
        <f t="array" ref="A99">_xlfn.IFS(C99="it ITA", "Serie A", C99="eng ENG", "Premier League", C99="de GER", "Bundesliga", C99="es ESP", "La Liga", C99="fr FRA", "Ligue 1")</f>
        <v>Premier League</v>
      </c>
      <c r="B99" t="s">
        <v>522</v>
      </c>
      <c r="C99" t="s">
        <v>150</v>
      </c>
      <c r="D99">
        <v>20</v>
      </c>
      <c r="E99">
        <v>38</v>
      </c>
      <c r="F99">
        <v>3</v>
      </c>
      <c r="G99">
        <v>6</v>
      </c>
      <c r="H99">
        <v>29</v>
      </c>
      <c r="I99">
        <v>26</v>
      </c>
      <c r="J99">
        <v>69</v>
      </c>
      <c r="K99">
        <v>-43</v>
      </c>
      <c r="L99">
        <v>15</v>
      </c>
      <c r="M99">
        <v>0.39</v>
      </c>
      <c r="N99" s="1">
        <v>33904</v>
      </c>
      <c r="O99" t="s">
        <v>678</v>
      </c>
      <c r="P99" t="s">
        <v>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7F00-86C7-5B46-926A-8D2AF2BB6E6A}">
  <dimension ref="A1:P99"/>
  <sheetViews>
    <sheetView workbookViewId="0">
      <selection activeCell="A2" sqref="A2:A99"/>
    </sheetView>
  </sheetViews>
  <sheetFormatPr baseColWidth="10" defaultRowHeight="16" x14ac:dyDescent="0.2"/>
  <sheetData>
    <row r="1" spans="1:16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">
      <c r="A2" t="str" cm="1">
        <f t="array" ref="A2">_xlfn.IFS(C2="it ITA", "Serie A", C2="eng ENG", "Premier League", C2="de GER", "Bundesliga", C2="es ESP", "La Liga", C2="fr FRA", "Ligue 1")</f>
        <v>La Liga</v>
      </c>
      <c r="B2" t="s">
        <v>23</v>
      </c>
      <c r="C2" t="s">
        <v>165</v>
      </c>
      <c r="D2">
        <v>1</v>
      </c>
      <c r="E2">
        <v>38</v>
      </c>
      <c r="F2">
        <v>31</v>
      </c>
      <c r="G2">
        <v>6</v>
      </c>
      <c r="H2">
        <v>1</v>
      </c>
      <c r="I2">
        <v>98</v>
      </c>
      <c r="J2">
        <v>24</v>
      </c>
      <c r="K2">
        <v>74</v>
      </c>
      <c r="L2">
        <v>99</v>
      </c>
      <c r="M2">
        <v>2.61</v>
      </c>
      <c r="O2" t="s">
        <v>700</v>
      </c>
      <c r="P2" t="s">
        <v>535</v>
      </c>
    </row>
    <row r="3" spans="1:16" x14ac:dyDescent="0.2">
      <c r="A3" t="str" cm="1">
        <f t="array" ref="A3">_xlfn.IFS(C3="it ITA", "Serie A", C3="eng ENG", "Premier League", C3="de GER", "Bundesliga", C3="es ESP", "La Liga", C3="fr FRA", "Ligue 1")</f>
        <v>La Liga</v>
      </c>
      <c r="B3" t="s">
        <v>24</v>
      </c>
      <c r="C3" t="s">
        <v>165</v>
      </c>
      <c r="D3">
        <v>2</v>
      </c>
      <c r="E3">
        <v>38</v>
      </c>
      <c r="F3">
        <v>31</v>
      </c>
      <c r="G3">
        <v>3</v>
      </c>
      <c r="H3">
        <v>4</v>
      </c>
      <c r="I3">
        <v>102</v>
      </c>
      <c r="J3">
        <v>35</v>
      </c>
      <c r="K3">
        <v>67</v>
      </c>
      <c r="L3">
        <v>96</v>
      </c>
      <c r="M3">
        <v>2.5299999999999998</v>
      </c>
      <c r="O3" t="s">
        <v>701</v>
      </c>
      <c r="P3" t="s">
        <v>377</v>
      </c>
    </row>
    <row r="4" spans="1:16" x14ac:dyDescent="0.2">
      <c r="A4" t="str" cm="1">
        <f t="array" ref="A4">_xlfn.IFS(C4="it ITA", "Serie A", C4="eng ENG", "Premier League", C4="de GER", "Bundesliga", C4="es ESP", "La Liga", C4="fr FRA", "Ligue 1")</f>
        <v>Premier League</v>
      </c>
      <c r="B4" t="s">
        <v>4</v>
      </c>
      <c r="C4" t="s">
        <v>150</v>
      </c>
      <c r="D4">
        <v>1</v>
      </c>
      <c r="E4">
        <v>38</v>
      </c>
      <c r="F4">
        <v>27</v>
      </c>
      <c r="G4">
        <v>5</v>
      </c>
      <c r="H4">
        <v>6</v>
      </c>
      <c r="I4">
        <v>103</v>
      </c>
      <c r="J4">
        <v>32</v>
      </c>
      <c r="K4">
        <v>71</v>
      </c>
      <c r="L4">
        <v>86</v>
      </c>
      <c r="M4">
        <v>2.2599999999999998</v>
      </c>
      <c r="N4" s="1">
        <v>41423</v>
      </c>
      <c r="O4" t="s">
        <v>702</v>
      </c>
      <c r="P4" t="s">
        <v>529</v>
      </c>
    </row>
    <row r="5" spans="1:16" x14ac:dyDescent="0.2">
      <c r="A5" t="str" cm="1">
        <f t="array" ref="A5">_xlfn.IFS(C5="it ITA", "Serie A", C5="eng ENG", "Premier League", C5="de GER", "Bundesliga", C5="es ESP", "La Liga", C5="fr FRA", "Ligue 1")</f>
        <v>Premier League</v>
      </c>
      <c r="B5" t="s">
        <v>340</v>
      </c>
      <c r="C5" t="s">
        <v>150</v>
      </c>
      <c r="D5">
        <v>2</v>
      </c>
      <c r="E5">
        <v>38</v>
      </c>
      <c r="F5">
        <v>27</v>
      </c>
      <c r="G5">
        <v>4</v>
      </c>
      <c r="H5">
        <v>7</v>
      </c>
      <c r="I5">
        <v>86</v>
      </c>
      <c r="J5">
        <v>28</v>
      </c>
      <c r="K5">
        <v>58</v>
      </c>
      <c r="L5">
        <v>85</v>
      </c>
      <c r="M5">
        <v>2.2400000000000002</v>
      </c>
      <c r="N5" s="1">
        <v>74864</v>
      </c>
      <c r="O5" t="s">
        <v>703</v>
      </c>
      <c r="P5" t="s">
        <v>454</v>
      </c>
    </row>
    <row r="6" spans="1:16" x14ac:dyDescent="0.2">
      <c r="A6" t="str" cm="1">
        <f t="array" ref="A6">_xlfn.IFS(C6="it ITA", "Serie A", C6="eng ENG", "Premier League", C6="de GER", "Bundesliga", C6="es ESP", "La Liga", C6="fr FRA", "Ligue 1")</f>
        <v>Serie A</v>
      </c>
      <c r="B6" t="s">
        <v>341</v>
      </c>
      <c r="C6" t="s">
        <v>147</v>
      </c>
      <c r="D6">
        <v>1</v>
      </c>
      <c r="E6">
        <v>38</v>
      </c>
      <c r="F6">
        <v>24</v>
      </c>
      <c r="G6">
        <v>10</v>
      </c>
      <c r="H6">
        <v>4</v>
      </c>
      <c r="I6">
        <v>75</v>
      </c>
      <c r="J6">
        <v>34</v>
      </c>
      <c r="K6">
        <v>41</v>
      </c>
      <c r="L6">
        <v>82</v>
      </c>
      <c r="M6">
        <v>2.16</v>
      </c>
      <c r="O6" t="s">
        <v>704</v>
      </c>
      <c r="P6" t="s">
        <v>540</v>
      </c>
    </row>
    <row r="7" spans="1:16" x14ac:dyDescent="0.2">
      <c r="A7" t="str" cm="1">
        <f t="array" ref="A7">_xlfn.IFS(C7="it ITA", "Serie A", C7="eng ENG", "Premier League", C7="de GER", "Bundesliga", C7="es ESP", "La Liga", C7="fr FRA", "Ligue 1")</f>
        <v>Serie A</v>
      </c>
      <c r="B7" t="s">
        <v>57</v>
      </c>
      <c r="C7" t="s">
        <v>147</v>
      </c>
      <c r="D7">
        <v>2</v>
      </c>
      <c r="E7">
        <v>38</v>
      </c>
      <c r="F7">
        <v>24</v>
      </c>
      <c r="G7">
        <v>8</v>
      </c>
      <c r="H7">
        <v>6</v>
      </c>
      <c r="I7">
        <v>68</v>
      </c>
      <c r="J7">
        <v>41</v>
      </c>
      <c r="K7">
        <v>27</v>
      </c>
      <c r="L7">
        <v>80</v>
      </c>
      <c r="M7">
        <v>2.11</v>
      </c>
      <c r="O7" t="s">
        <v>705</v>
      </c>
      <c r="P7" t="s">
        <v>706</v>
      </c>
    </row>
    <row r="8" spans="1:16" x14ac:dyDescent="0.2">
      <c r="A8" t="str" cm="1">
        <f t="array" ref="A8">_xlfn.IFS(C8="it ITA", "Serie A", C8="eng ENG", "Premier League", C8="de GER", "Bundesliga", C8="es ESP", "La Liga", C8="fr FRA", "Ligue 1")</f>
        <v>Bundesliga</v>
      </c>
      <c r="B8" t="s">
        <v>63</v>
      </c>
      <c r="C8" t="s">
        <v>160</v>
      </c>
      <c r="D8">
        <v>1</v>
      </c>
      <c r="E8">
        <v>34</v>
      </c>
      <c r="F8">
        <v>20</v>
      </c>
      <c r="G8">
        <v>10</v>
      </c>
      <c r="H8">
        <v>4</v>
      </c>
      <c r="I8">
        <v>72</v>
      </c>
      <c r="J8">
        <v>31</v>
      </c>
      <c r="K8">
        <v>41</v>
      </c>
      <c r="L8">
        <v>70</v>
      </c>
      <c r="M8">
        <v>2.06</v>
      </c>
      <c r="O8" t="s">
        <v>707</v>
      </c>
      <c r="P8" t="s">
        <v>255</v>
      </c>
    </row>
    <row r="9" spans="1:16" x14ac:dyDescent="0.2">
      <c r="A9" t="str" cm="1">
        <f t="array" ref="A9">_xlfn.IFS(C9="it ITA", "Serie A", C9="eng ENG", "Premier League", C9="de GER", "Bundesliga", C9="es ESP", "La Liga", C9="fr FRA", "Ligue 1")</f>
        <v>Ligue 1</v>
      </c>
      <c r="B9" t="s">
        <v>101</v>
      </c>
      <c r="C9" t="s">
        <v>157</v>
      </c>
      <c r="D9">
        <v>1</v>
      </c>
      <c r="E9">
        <v>38</v>
      </c>
      <c r="F9">
        <v>23</v>
      </c>
      <c r="G9">
        <v>9</v>
      </c>
      <c r="H9">
        <v>6</v>
      </c>
      <c r="I9">
        <v>69</v>
      </c>
      <c r="J9">
        <v>36</v>
      </c>
      <c r="K9">
        <v>33</v>
      </c>
      <c r="L9">
        <v>78</v>
      </c>
      <c r="M9">
        <v>2.0499999999999998</v>
      </c>
      <c r="O9" t="s">
        <v>708</v>
      </c>
      <c r="P9" t="s">
        <v>709</v>
      </c>
    </row>
    <row r="10" spans="1:16" x14ac:dyDescent="0.2">
      <c r="A10" t="str" cm="1">
        <f t="array" ref="A10">_xlfn.IFS(C10="it ITA", "Serie A", C10="eng ENG", "Premier League", C10="de GER", "Bundesliga", C10="es ESP", "La Liga", C10="fr FRA", "Ligue 1")</f>
        <v>Premier League</v>
      </c>
      <c r="B10" t="s">
        <v>0</v>
      </c>
      <c r="C10" t="s">
        <v>150</v>
      </c>
      <c r="D10">
        <v>3</v>
      </c>
      <c r="E10">
        <v>38</v>
      </c>
      <c r="F10">
        <v>23</v>
      </c>
      <c r="G10">
        <v>6</v>
      </c>
      <c r="H10">
        <v>9</v>
      </c>
      <c r="I10">
        <v>83</v>
      </c>
      <c r="J10">
        <v>41</v>
      </c>
      <c r="K10">
        <v>42</v>
      </c>
      <c r="L10">
        <v>75</v>
      </c>
      <c r="M10">
        <v>1.97</v>
      </c>
      <c r="N10" s="1">
        <v>63256</v>
      </c>
      <c r="O10" t="s">
        <v>710</v>
      </c>
      <c r="P10" t="s">
        <v>711</v>
      </c>
    </row>
    <row r="11" spans="1:16" x14ac:dyDescent="0.2">
      <c r="A11" t="str" cm="1">
        <f t="array" ref="A11">_xlfn.IFS(C11="it ITA", "Serie A", C11="eng ENG", "Premier League", C11="de GER", "Bundesliga", C11="es ESP", "La Liga", C11="fr FRA", "Ligue 1")</f>
        <v>Bundesliga</v>
      </c>
      <c r="B11" t="s">
        <v>125</v>
      </c>
      <c r="C11" t="s">
        <v>160</v>
      </c>
      <c r="D11">
        <v>2</v>
      </c>
      <c r="E11">
        <v>34</v>
      </c>
      <c r="F11">
        <v>19</v>
      </c>
      <c r="G11">
        <v>8</v>
      </c>
      <c r="H11">
        <v>7</v>
      </c>
      <c r="I11">
        <v>53</v>
      </c>
      <c r="J11">
        <v>31</v>
      </c>
      <c r="K11">
        <v>22</v>
      </c>
      <c r="L11">
        <v>65</v>
      </c>
      <c r="M11">
        <v>1.91</v>
      </c>
      <c r="O11" t="s">
        <v>712</v>
      </c>
      <c r="P11" t="s">
        <v>713</v>
      </c>
    </row>
    <row r="12" spans="1:16" x14ac:dyDescent="0.2">
      <c r="A12" t="str" cm="1">
        <f t="array" ref="A12">_xlfn.IFS(C12="it ITA", "Serie A", C12="eng ENG", "Premier League", C12="de GER", "Bundesliga", C12="es ESP", "La Liga", C12="fr FRA", "Ligue 1")</f>
        <v>Ligue 1</v>
      </c>
      <c r="B12" t="s">
        <v>89</v>
      </c>
      <c r="C12" t="s">
        <v>157</v>
      </c>
      <c r="D12">
        <v>2</v>
      </c>
      <c r="E12">
        <v>38</v>
      </c>
      <c r="F12">
        <v>20</v>
      </c>
      <c r="G12">
        <v>12</v>
      </c>
      <c r="H12">
        <v>6</v>
      </c>
      <c r="I12">
        <v>64</v>
      </c>
      <c r="J12">
        <v>38</v>
      </c>
      <c r="K12">
        <v>26</v>
      </c>
      <c r="L12">
        <v>72</v>
      </c>
      <c r="M12">
        <v>1.89</v>
      </c>
      <c r="O12" t="s">
        <v>714</v>
      </c>
      <c r="P12" t="s">
        <v>715</v>
      </c>
    </row>
    <row r="13" spans="1:16" x14ac:dyDescent="0.2">
      <c r="A13" t="str" cm="1">
        <f t="array" ref="A13">_xlfn.IFS(C13="it ITA", "Serie A", C13="eng ENG", "Premier League", C13="de GER", "Bundesliga", C13="es ESP", "La Liga", C13="fr FRA", "Ligue 1")</f>
        <v>La Liga</v>
      </c>
      <c r="B13" t="s">
        <v>26</v>
      </c>
      <c r="C13" t="s">
        <v>165</v>
      </c>
      <c r="D13">
        <v>3</v>
      </c>
      <c r="E13">
        <v>38</v>
      </c>
      <c r="F13">
        <v>21</v>
      </c>
      <c r="G13">
        <v>8</v>
      </c>
      <c r="H13">
        <v>9</v>
      </c>
      <c r="I13">
        <v>59</v>
      </c>
      <c r="J13">
        <v>40</v>
      </c>
      <c r="K13">
        <v>19</v>
      </c>
      <c r="L13">
        <v>71</v>
      </c>
      <c r="M13">
        <v>1.87</v>
      </c>
      <c r="O13" t="s">
        <v>716</v>
      </c>
      <c r="P13" t="s">
        <v>245</v>
      </c>
    </row>
    <row r="14" spans="1:16" x14ac:dyDescent="0.2">
      <c r="A14" t="str" cm="1">
        <f t="array" ref="A14">_xlfn.IFS(C14="it ITA", "Serie A", C14="eng ENG", "Premier League", C14="de GER", "Bundesliga", C14="es ESP", "La Liga", C14="fr FRA", "Ligue 1")</f>
        <v>Ligue 1</v>
      </c>
      <c r="B14" t="s">
        <v>102</v>
      </c>
      <c r="C14" t="s">
        <v>157</v>
      </c>
      <c r="D14">
        <v>3</v>
      </c>
      <c r="E14">
        <v>38</v>
      </c>
      <c r="F14">
        <v>20</v>
      </c>
      <c r="G14">
        <v>11</v>
      </c>
      <c r="H14">
        <v>7</v>
      </c>
      <c r="I14">
        <v>42</v>
      </c>
      <c r="J14">
        <v>29</v>
      </c>
      <c r="K14">
        <v>13</v>
      </c>
      <c r="L14">
        <v>71</v>
      </c>
      <c r="M14">
        <v>1.87</v>
      </c>
      <c r="O14" t="s">
        <v>717</v>
      </c>
      <c r="P14" t="s">
        <v>718</v>
      </c>
    </row>
    <row r="15" spans="1:16" x14ac:dyDescent="0.2">
      <c r="A15" t="str" cm="1">
        <f t="array" ref="A15">_xlfn.IFS(C15="it ITA", "Serie A", C15="eng ENG", "Premier League", C15="de GER", "Bundesliga", C15="es ESP", "La Liga", C15="fr FRA", "Ligue 1")</f>
        <v>Ligue 1</v>
      </c>
      <c r="B15" t="s">
        <v>96</v>
      </c>
      <c r="C15" t="s">
        <v>157</v>
      </c>
      <c r="D15">
        <v>4</v>
      </c>
      <c r="E15">
        <v>38</v>
      </c>
      <c r="F15">
        <v>21</v>
      </c>
      <c r="G15">
        <v>7</v>
      </c>
      <c r="H15">
        <v>10</v>
      </c>
      <c r="I15">
        <v>72</v>
      </c>
      <c r="J15">
        <v>40</v>
      </c>
      <c r="K15">
        <v>32</v>
      </c>
      <c r="L15">
        <v>70</v>
      </c>
      <c r="M15">
        <v>1.84</v>
      </c>
      <c r="O15" t="s">
        <v>719</v>
      </c>
      <c r="P15" t="s">
        <v>265</v>
      </c>
    </row>
    <row r="16" spans="1:16" x14ac:dyDescent="0.2">
      <c r="A16" t="str" cm="1">
        <f t="array" ref="A16">_xlfn.IFS(C16="it ITA", "Serie A", C16="eng ENG", "Premier League", C16="de GER", "Bundesliga", C16="es ESP", "La Liga", C16="fr FRA", "Ligue 1")</f>
        <v>Premier League</v>
      </c>
      <c r="B16" t="s">
        <v>350</v>
      </c>
      <c r="C16" t="s">
        <v>150</v>
      </c>
      <c r="D16">
        <v>4</v>
      </c>
      <c r="E16">
        <v>38</v>
      </c>
      <c r="F16">
        <v>21</v>
      </c>
      <c r="G16">
        <v>7</v>
      </c>
      <c r="H16">
        <v>10</v>
      </c>
      <c r="I16">
        <v>67</v>
      </c>
      <c r="J16">
        <v>41</v>
      </c>
      <c r="K16">
        <v>26</v>
      </c>
      <c r="L16">
        <v>70</v>
      </c>
      <c r="M16">
        <v>1.84</v>
      </c>
      <c r="N16" s="1">
        <v>35794</v>
      </c>
      <c r="O16" t="s">
        <v>720</v>
      </c>
      <c r="P16" t="s">
        <v>721</v>
      </c>
    </row>
    <row r="17" spans="1:16" x14ac:dyDescent="0.2">
      <c r="A17" t="str" cm="1">
        <f t="array" ref="A17">_xlfn.IFS(C17="it ITA", "Serie A", C17="eng ENG", "Premier League", C17="de GER", "Bundesliga", C17="es ESP", "La Liga", C17="fr FRA", "Ligue 1")</f>
        <v>Serie A</v>
      </c>
      <c r="B17" t="s">
        <v>52</v>
      </c>
      <c r="C17" t="s">
        <v>147</v>
      </c>
      <c r="D17">
        <v>3</v>
      </c>
      <c r="E17">
        <v>38</v>
      </c>
      <c r="F17">
        <v>20</v>
      </c>
      <c r="G17">
        <v>10</v>
      </c>
      <c r="H17">
        <v>8</v>
      </c>
      <c r="I17">
        <v>60</v>
      </c>
      <c r="J17">
        <v>39</v>
      </c>
      <c r="K17">
        <v>21</v>
      </c>
      <c r="L17">
        <v>70</v>
      </c>
      <c r="M17">
        <v>1.84</v>
      </c>
      <c r="O17" t="s">
        <v>722</v>
      </c>
      <c r="P17" t="s">
        <v>567</v>
      </c>
    </row>
    <row r="18" spans="1:16" x14ac:dyDescent="0.2">
      <c r="A18" t="str" cm="1">
        <f t="array" ref="A18">_xlfn.IFS(C18="it ITA", "Serie A", C18="eng ENG", "Premier League", C18="de GER", "Bundesliga", C18="es ESP", "La Liga", C18="fr FRA", "Ligue 1")</f>
        <v>Ligue 1</v>
      </c>
      <c r="B18" t="s">
        <v>88</v>
      </c>
      <c r="C18" t="s">
        <v>157</v>
      </c>
      <c r="D18">
        <v>5</v>
      </c>
      <c r="E18">
        <v>38</v>
      </c>
      <c r="F18">
        <v>20</v>
      </c>
      <c r="G18">
        <v>9</v>
      </c>
      <c r="H18">
        <v>9</v>
      </c>
      <c r="I18">
        <v>50</v>
      </c>
      <c r="J18">
        <v>40</v>
      </c>
      <c r="K18">
        <v>10</v>
      </c>
      <c r="L18">
        <v>69</v>
      </c>
      <c r="M18">
        <v>1.82</v>
      </c>
      <c r="O18" t="s">
        <v>723</v>
      </c>
      <c r="P18" t="s">
        <v>724</v>
      </c>
    </row>
    <row r="19" spans="1:16" x14ac:dyDescent="0.2">
      <c r="A19" t="str" cm="1">
        <f t="array" ref="A19">_xlfn.IFS(C19="it ITA", "Serie A", C19="eng ENG", "Premier League", C19="de GER", "Bundesliga", C19="es ESP", "La Liga", C19="fr FRA", "Ligue 1")</f>
        <v>Bundesliga</v>
      </c>
      <c r="B19" t="s">
        <v>84</v>
      </c>
      <c r="C19" t="s">
        <v>160</v>
      </c>
      <c r="D19">
        <v>3</v>
      </c>
      <c r="E19">
        <v>34</v>
      </c>
      <c r="F19">
        <v>17</v>
      </c>
      <c r="G19">
        <v>10</v>
      </c>
      <c r="H19">
        <v>7</v>
      </c>
      <c r="I19">
        <v>71</v>
      </c>
      <c r="J19">
        <v>40</v>
      </c>
      <c r="K19">
        <v>31</v>
      </c>
      <c r="L19">
        <v>61</v>
      </c>
      <c r="M19">
        <v>1.79</v>
      </c>
      <c r="O19" t="s">
        <v>725</v>
      </c>
      <c r="P19" t="s">
        <v>726</v>
      </c>
    </row>
    <row r="20" spans="1:16" x14ac:dyDescent="0.2">
      <c r="A20" t="str" cm="1">
        <f t="array" ref="A20">_xlfn.IFS(C20="it ITA", "Serie A", C20="eng ENG", "Premier League", C20="de GER", "Bundesliga", C20="es ESP", "La Liga", C20="fr FRA", "Ligue 1")</f>
        <v>Premier League</v>
      </c>
      <c r="B20" t="s">
        <v>10</v>
      </c>
      <c r="C20" t="s">
        <v>150</v>
      </c>
      <c r="D20">
        <v>5</v>
      </c>
      <c r="E20">
        <v>38</v>
      </c>
      <c r="F20">
        <v>18</v>
      </c>
      <c r="G20">
        <v>13</v>
      </c>
      <c r="H20">
        <v>7</v>
      </c>
      <c r="I20">
        <v>73</v>
      </c>
      <c r="J20">
        <v>45</v>
      </c>
      <c r="K20">
        <v>28</v>
      </c>
      <c r="L20">
        <v>67</v>
      </c>
      <c r="M20">
        <v>1.76</v>
      </c>
      <c r="N20" s="1">
        <v>45513</v>
      </c>
      <c r="O20" t="s">
        <v>727</v>
      </c>
      <c r="P20" t="s">
        <v>279</v>
      </c>
    </row>
    <row r="21" spans="1:16" x14ac:dyDescent="0.2">
      <c r="A21" t="str" cm="1">
        <f t="array" ref="A21">_xlfn.IFS(C21="it ITA", "Serie A", C21="eng ENG", "Premier League", C21="de GER", "Bundesliga", C21="es ESP", "La Liga", C21="fr FRA", "Ligue 1")</f>
        <v>Serie A</v>
      </c>
      <c r="B21" t="s">
        <v>58</v>
      </c>
      <c r="C21" t="s">
        <v>147</v>
      </c>
      <c r="D21">
        <v>4</v>
      </c>
      <c r="E21">
        <v>38</v>
      </c>
      <c r="F21">
        <v>19</v>
      </c>
      <c r="G21">
        <v>10</v>
      </c>
      <c r="H21">
        <v>9</v>
      </c>
      <c r="I21">
        <v>49</v>
      </c>
      <c r="J21">
        <v>41</v>
      </c>
      <c r="K21">
        <v>8</v>
      </c>
      <c r="L21">
        <v>67</v>
      </c>
      <c r="M21">
        <v>1.76</v>
      </c>
      <c r="O21" t="s">
        <v>728</v>
      </c>
      <c r="P21" t="s">
        <v>666</v>
      </c>
    </row>
    <row r="22" spans="1:16" x14ac:dyDescent="0.2">
      <c r="A22" t="str" cm="1">
        <f t="array" ref="A22">_xlfn.IFS(C22="it ITA", "Serie A", C22="eng ENG", "Premier League", C22="de GER", "Bundesliga", C22="es ESP", "La Liga", C22="fr FRA", "Ligue 1")</f>
        <v>Bundesliga</v>
      </c>
      <c r="B22" t="s">
        <v>62</v>
      </c>
      <c r="C22" t="s">
        <v>160</v>
      </c>
      <c r="D22">
        <v>4</v>
      </c>
      <c r="E22">
        <v>34</v>
      </c>
      <c r="F22">
        <v>15</v>
      </c>
      <c r="G22">
        <v>14</v>
      </c>
      <c r="H22">
        <v>5</v>
      </c>
      <c r="I22">
        <v>65</v>
      </c>
      <c r="J22">
        <v>38</v>
      </c>
      <c r="K22">
        <v>27</v>
      </c>
      <c r="L22">
        <v>59</v>
      </c>
      <c r="M22">
        <v>1.74</v>
      </c>
      <c r="O22" t="s">
        <v>729</v>
      </c>
      <c r="P22" t="s">
        <v>730</v>
      </c>
    </row>
    <row r="23" spans="1:16" x14ac:dyDescent="0.2">
      <c r="A23" t="str" cm="1">
        <f t="array" ref="A23">_xlfn.IFS(C23="it ITA", "Serie A", C23="eng ENG", "Premier League", C23="de GER", "Bundesliga", C23="es ESP", "La Liga", C23="fr FRA", "Ligue 1")</f>
        <v>Serie A</v>
      </c>
      <c r="B23" t="s">
        <v>682</v>
      </c>
      <c r="C23" t="s">
        <v>147</v>
      </c>
      <c r="D23">
        <v>5</v>
      </c>
      <c r="E23">
        <v>38</v>
      </c>
      <c r="F23">
        <v>18</v>
      </c>
      <c r="G23">
        <v>11</v>
      </c>
      <c r="H23">
        <v>9</v>
      </c>
      <c r="I23">
        <v>59</v>
      </c>
      <c r="J23">
        <v>47</v>
      </c>
      <c r="K23">
        <v>12</v>
      </c>
      <c r="L23">
        <v>65</v>
      </c>
      <c r="M23">
        <v>1.71</v>
      </c>
      <c r="O23" t="s">
        <v>731</v>
      </c>
      <c r="P23" t="s">
        <v>732</v>
      </c>
    </row>
    <row r="24" spans="1:16" x14ac:dyDescent="0.2">
      <c r="A24" t="str" cm="1">
        <f t="array" ref="A24">_xlfn.IFS(C24="it ITA", "Serie A", C24="eng ENG", "Premier League", C24="de GER", "Bundesliga", C24="es ESP", "La Liga", C24="fr FRA", "Ligue 1")</f>
        <v>Ligue 1</v>
      </c>
      <c r="B24" t="s">
        <v>85</v>
      </c>
      <c r="C24" t="s">
        <v>157</v>
      </c>
      <c r="D24">
        <v>6</v>
      </c>
      <c r="E24">
        <v>38</v>
      </c>
      <c r="F24">
        <v>19</v>
      </c>
      <c r="G24">
        <v>7</v>
      </c>
      <c r="H24">
        <v>12</v>
      </c>
      <c r="I24">
        <v>58</v>
      </c>
      <c r="J24">
        <v>40</v>
      </c>
      <c r="K24">
        <v>18</v>
      </c>
      <c r="L24">
        <v>64</v>
      </c>
      <c r="M24">
        <v>1.68</v>
      </c>
      <c r="O24" t="s">
        <v>733</v>
      </c>
      <c r="P24" t="s">
        <v>734</v>
      </c>
    </row>
    <row r="25" spans="1:16" x14ac:dyDescent="0.2">
      <c r="A25" t="str" cm="1">
        <f t="array" ref="A25">_xlfn.IFS(C25="it ITA", "Serie A", C25="eng ENG", "Premier League", C25="de GER", "Bundesliga", C25="es ESP", "La Liga", C25="fr FRA", "Ligue 1")</f>
        <v>Premier League</v>
      </c>
      <c r="B25" t="s">
        <v>1</v>
      </c>
      <c r="C25" t="s">
        <v>150</v>
      </c>
      <c r="D25">
        <v>6</v>
      </c>
      <c r="E25">
        <v>38</v>
      </c>
      <c r="F25">
        <v>17</v>
      </c>
      <c r="G25">
        <v>13</v>
      </c>
      <c r="H25">
        <v>8</v>
      </c>
      <c r="I25">
        <v>52</v>
      </c>
      <c r="J25">
        <v>39</v>
      </c>
      <c r="K25">
        <v>13</v>
      </c>
      <c r="L25">
        <v>64</v>
      </c>
      <c r="M25">
        <v>1.68</v>
      </c>
      <c r="N25" s="1">
        <v>38573</v>
      </c>
      <c r="O25" t="s">
        <v>735</v>
      </c>
      <c r="P25" t="s">
        <v>440</v>
      </c>
    </row>
    <row r="26" spans="1:16" x14ac:dyDescent="0.2">
      <c r="A26" t="str" cm="1">
        <f t="array" ref="A26">_xlfn.IFS(C26="it ITA", "Serie A", C26="eng ENG", "Premier League", C26="de GER", "Bundesliga", C26="es ESP", "La Liga", C26="fr FRA", "Ligue 1")</f>
        <v>Bundesliga</v>
      </c>
      <c r="B26" t="s">
        <v>65</v>
      </c>
      <c r="C26" t="s">
        <v>160</v>
      </c>
      <c r="D26">
        <v>5</v>
      </c>
      <c r="E26">
        <v>34</v>
      </c>
      <c r="F26">
        <v>16</v>
      </c>
      <c r="G26">
        <v>9</v>
      </c>
      <c r="H26">
        <v>9</v>
      </c>
      <c r="I26">
        <v>54</v>
      </c>
      <c r="J26">
        <v>42</v>
      </c>
      <c r="K26">
        <v>12</v>
      </c>
      <c r="L26">
        <v>57</v>
      </c>
      <c r="M26">
        <v>1.68</v>
      </c>
      <c r="O26" t="s">
        <v>736</v>
      </c>
      <c r="P26" t="s">
        <v>591</v>
      </c>
    </row>
    <row r="27" spans="1:16" x14ac:dyDescent="0.2">
      <c r="A27" t="str" cm="1">
        <f t="array" ref="A27">_xlfn.IFS(C27="it ITA", "Serie A", C27="eng ENG", "Premier League", C27="de GER", "Bundesliga", C27="es ESP", "La Liga", C27="fr FRA", "Ligue 1")</f>
        <v>Premier League</v>
      </c>
      <c r="B27" t="s">
        <v>9</v>
      </c>
      <c r="C27" t="s">
        <v>150</v>
      </c>
      <c r="D27">
        <v>7</v>
      </c>
      <c r="E27">
        <v>38</v>
      </c>
      <c r="F27">
        <v>18</v>
      </c>
      <c r="G27">
        <v>9</v>
      </c>
      <c r="H27">
        <v>11</v>
      </c>
      <c r="I27">
        <v>61</v>
      </c>
      <c r="J27">
        <v>35</v>
      </c>
      <c r="K27">
        <v>26</v>
      </c>
      <c r="L27">
        <v>63</v>
      </c>
      <c r="M27">
        <v>1.66</v>
      </c>
      <c r="N27" s="1">
        <v>42864</v>
      </c>
      <c r="O27" t="s">
        <v>737</v>
      </c>
      <c r="P27" t="s">
        <v>537</v>
      </c>
    </row>
    <row r="28" spans="1:16" x14ac:dyDescent="0.2">
      <c r="A28" t="str" cm="1">
        <f t="array" ref="A28">_xlfn.IFS(C28="it ITA", "Serie A", C28="eng ENG", "Premier League", C28="de GER", "Bundesliga", C28="es ESP", "La Liga", C28="fr FRA", "Ligue 1")</f>
        <v>La Liga</v>
      </c>
      <c r="B28" t="s">
        <v>27</v>
      </c>
      <c r="C28" t="s">
        <v>165</v>
      </c>
      <c r="D28">
        <v>4</v>
      </c>
      <c r="E28">
        <v>38</v>
      </c>
      <c r="F28">
        <v>19</v>
      </c>
      <c r="G28">
        <v>6</v>
      </c>
      <c r="H28">
        <v>13</v>
      </c>
      <c r="I28">
        <v>65</v>
      </c>
      <c r="J28">
        <v>49</v>
      </c>
      <c r="K28">
        <v>16</v>
      </c>
      <c r="L28">
        <v>63</v>
      </c>
      <c r="M28">
        <v>1.66</v>
      </c>
      <c r="O28" t="s">
        <v>738</v>
      </c>
      <c r="P28" t="s">
        <v>550</v>
      </c>
    </row>
    <row r="29" spans="1:16" x14ac:dyDescent="0.2">
      <c r="A29" t="str" cm="1">
        <f t="array" ref="A29">_xlfn.IFS(C29="it ITA", "Serie A", C29="eng ENG", "Premier League", C29="de GER", "Bundesliga", C29="es ESP", "La Liga", C29="fr FRA", "Ligue 1")</f>
        <v>La Liga</v>
      </c>
      <c r="B29" t="s">
        <v>114</v>
      </c>
      <c r="C29" t="s">
        <v>165</v>
      </c>
      <c r="D29">
        <v>5</v>
      </c>
      <c r="E29">
        <v>38</v>
      </c>
      <c r="F29">
        <v>18</v>
      </c>
      <c r="G29">
        <v>8</v>
      </c>
      <c r="H29">
        <v>12</v>
      </c>
      <c r="I29">
        <v>59</v>
      </c>
      <c r="J29">
        <v>44</v>
      </c>
      <c r="K29">
        <v>15</v>
      </c>
      <c r="L29">
        <v>62</v>
      </c>
      <c r="M29">
        <v>1.63</v>
      </c>
      <c r="O29" t="s">
        <v>739</v>
      </c>
      <c r="P29" t="s">
        <v>641</v>
      </c>
    </row>
    <row r="30" spans="1:16" x14ac:dyDescent="0.2">
      <c r="A30" t="str" cm="1">
        <f t="array" ref="A30">_xlfn.IFS(C30="it ITA", "Serie A", C30="eng ENG", "Premier League", C30="de GER", "Bundesliga", C30="es ESP", "La Liga", C30="fr FRA", "Ligue 1")</f>
        <v>Bundesliga</v>
      </c>
      <c r="B30" t="s">
        <v>81</v>
      </c>
      <c r="C30" t="s">
        <v>160</v>
      </c>
      <c r="D30">
        <v>6</v>
      </c>
      <c r="E30">
        <v>34</v>
      </c>
      <c r="F30">
        <v>15</v>
      </c>
      <c r="G30">
        <v>10</v>
      </c>
      <c r="H30">
        <v>9</v>
      </c>
      <c r="I30">
        <v>51</v>
      </c>
      <c r="J30">
        <v>41</v>
      </c>
      <c r="K30">
        <v>10</v>
      </c>
      <c r="L30">
        <v>55</v>
      </c>
      <c r="M30">
        <v>1.62</v>
      </c>
      <c r="O30" t="s">
        <v>740</v>
      </c>
      <c r="P30" t="s">
        <v>213</v>
      </c>
    </row>
    <row r="31" spans="1:16" x14ac:dyDescent="0.2">
      <c r="A31" t="str" cm="1">
        <f t="array" ref="A31">_xlfn.IFS(C31="it ITA", "Serie A", C31="eng ENG", "Premier League", C31="de GER", "Bundesliga", C31="es ESP", "La Liga", C31="fr FRA", "Ligue 1")</f>
        <v>Premier League</v>
      </c>
      <c r="B31" t="s">
        <v>6</v>
      </c>
      <c r="C31" t="s">
        <v>150</v>
      </c>
      <c r="D31">
        <v>8</v>
      </c>
      <c r="E31">
        <v>38</v>
      </c>
      <c r="F31">
        <v>16</v>
      </c>
      <c r="G31">
        <v>13</v>
      </c>
      <c r="H31">
        <v>9</v>
      </c>
      <c r="I31">
        <v>60</v>
      </c>
      <c r="J31">
        <v>49</v>
      </c>
      <c r="K31">
        <v>11</v>
      </c>
      <c r="L31">
        <v>61</v>
      </c>
      <c r="M31">
        <v>1.61</v>
      </c>
      <c r="N31" s="1">
        <v>38765</v>
      </c>
      <c r="O31" t="s">
        <v>741</v>
      </c>
      <c r="P31" t="s">
        <v>742</v>
      </c>
    </row>
    <row r="32" spans="1:16" x14ac:dyDescent="0.2">
      <c r="A32" t="str" cm="1">
        <f t="array" ref="A32">_xlfn.IFS(C32="it ITA", "Serie A", C32="eng ENG", "Premier League", C32="de GER", "Bundesliga", C32="es ESP", "La Liga", C32="fr FRA", "Ligue 1")</f>
        <v>Serie A</v>
      </c>
      <c r="B32" t="s">
        <v>53</v>
      </c>
      <c r="C32" t="s">
        <v>147</v>
      </c>
      <c r="D32">
        <v>6</v>
      </c>
      <c r="E32">
        <v>38</v>
      </c>
      <c r="F32">
        <v>15</v>
      </c>
      <c r="G32">
        <v>14</v>
      </c>
      <c r="H32">
        <v>9</v>
      </c>
      <c r="I32">
        <v>50</v>
      </c>
      <c r="J32">
        <v>43</v>
      </c>
      <c r="K32">
        <v>7</v>
      </c>
      <c r="L32">
        <v>59</v>
      </c>
      <c r="M32">
        <v>1.55</v>
      </c>
      <c r="O32" t="s">
        <v>743</v>
      </c>
      <c r="P32" t="s">
        <v>621</v>
      </c>
    </row>
    <row r="33" spans="1:16" x14ac:dyDescent="0.2">
      <c r="A33" t="str" cm="1">
        <f t="array" ref="A33">_xlfn.IFS(C33="it ITA", "Serie A", C33="eng ENG", "Premier League", C33="de GER", "Bundesliga", C33="es ESP", "La Liga", C33="fr FRA", "Ligue 1")</f>
        <v>Bundesliga</v>
      </c>
      <c r="B33" t="s">
        <v>71</v>
      </c>
      <c r="C33" t="s">
        <v>160</v>
      </c>
      <c r="D33">
        <v>7</v>
      </c>
      <c r="E33">
        <v>34</v>
      </c>
      <c r="F33">
        <v>13</v>
      </c>
      <c r="G33">
        <v>13</v>
      </c>
      <c r="H33">
        <v>8</v>
      </c>
      <c r="I33">
        <v>56</v>
      </c>
      <c r="J33">
        <v>41</v>
      </c>
      <c r="K33">
        <v>15</v>
      </c>
      <c r="L33">
        <v>52</v>
      </c>
      <c r="M33">
        <v>1.53</v>
      </c>
      <c r="O33" t="s">
        <v>744</v>
      </c>
      <c r="P33" t="s">
        <v>387</v>
      </c>
    </row>
    <row r="34" spans="1:16" x14ac:dyDescent="0.2">
      <c r="A34" t="str" cm="1">
        <f t="array" ref="A34">_xlfn.IFS(C34="it ITA", "Serie A", C34="eng ENG", "Premier League", C34="de GER", "Bundesliga", C34="es ESP", "La Liga", C34="fr FRA", "Ligue 1")</f>
        <v>Ligue 1</v>
      </c>
      <c r="B34" t="s">
        <v>525</v>
      </c>
      <c r="C34" t="s">
        <v>157</v>
      </c>
      <c r="D34">
        <v>7</v>
      </c>
      <c r="E34">
        <v>38</v>
      </c>
      <c r="F34">
        <v>16</v>
      </c>
      <c r="G34">
        <v>10</v>
      </c>
      <c r="H34">
        <v>12</v>
      </c>
      <c r="I34">
        <v>54</v>
      </c>
      <c r="J34">
        <v>42</v>
      </c>
      <c r="K34">
        <v>12</v>
      </c>
      <c r="L34">
        <v>58</v>
      </c>
      <c r="M34">
        <v>1.53</v>
      </c>
      <c r="O34" t="s">
        <v>745</v>
      </c>
      <c r="P34" t="s">
        <v>746</v>
      </c>
    </row>
    <row r="35" spans="1:16" x14ac:dyDescent="0.2">
      <c r="A35" t="str" cm="1">
        <f t="array" ref="A35">_xlfn.IFS(C35="it ITA", "Serie A", C35="eng ENG", "Premier League", C35="de GER", "Bundesliga", C35="es ESP", "La Liga", C35="fr FRA", "Ligue 1")</f>
        <v>La Liga</v>
      </c>
      <c r="B35" t="s">
        <v>681</v>
      </c>
      <c r="C35" t="s">
        <v>165</v>
      </c>
      <c r="D35">
        <v>6</v>
      </c>
      <c r="E35">
        <v>38</v>
      </c>
      <c r="F35">
        <v>17</v>
      </c>
      <c r="G35">
        <v>7</v>
      </c>
      <c r="H35">
        <v>14</v>
      </c>
      <c r="I35">
        <v>58</v>
      </c>
      <c r="J35">
        <v>48</v>
      </c>
      <c r="K35">
        <v>10</v>
      </c>
      <c r="L35">
        <v>58</v>
      </c>
      <c r="M35">
        <v>1.53</v>
      </c>
      <c r="O35" t="s">
        <v>747</v>
      </c>
      <c r="P35" t="s">
        <v>748</v>
      </c>
    </row>
    <row r="36" spans="1:16" x14ac:dyDescent="0.2">
      <c r="A36" t="str" cm="1">
        <f t="array" ref="A36">_xlfn.IFS(C36="it ITA", "Serie A", C36="eng ENG", "Premier League", C36="de GER", "Bundesliga", C36="es ESP", "La Liga", C36="fr FRA", "Ligue 1")</f>
        <v>Bundesliga</v>
      </c>
      <c r="B36" t="s">
        <v>352</v>
      </c>
      <c r="C36" t="s">
        <v>160</v>
      </c>
      <c r="D36">
        <v>8</v>
      </c>
      <c r="E36">
        <v>34</v>
      </c>
      <c r="F36">
        <v>14</v>
      </c>
      <c r="G36">
        <v>8</v>
      </c>
      <c r="H36">
        <v>12</v>
      </c>
      <c r="I36">
        <v>64</v>
      </c>
      <c r="J36">
        <v>58</v>
      </c>
      <c r="K36">
        <v>6</v>
      </c>
      <c r="L36">
        <v>50</v>
      </c>
      <c r="M36">
        <v>1.47</v>
      </c>
      <c r="O36" t="s">
        <v>749</v>
      </c>
      <c r="P36" t="s">
        <v>750</v>
      </c>
    </row>
    <row r="37" spans="1:16" x14ac:dyDescent="0.2">
      <c r="A37" t="str" cm="1">
        <f t="array" ref="A37">_xlfn.IFS(C37="it ITA", "Serie A", C37="eng ENG", "Premier League", C37="de GER", "Bundesliga", C37="es ESP", "La Liga", C37="fr FRA", "Ligue 1")</f>
        <v>La Liga</v>
      </c>
      <c r="B37" t="s">
        <v>520</v>
      </c>
      <c r="C37" t="s">
        <v>165</v>
      </c>
      <c r="D37">
        <v>7</v>
      </c>
      <c r="E37">
        <v>38</v>
      </c>
      <c r="F37">
        <v>16</v>
      </c>
      <c r="G37">
        <v>8</v>
      </c>
      <c r="H37">
        <v>14</v>
      </c>
      <c r="I37">
        <v>58</v>
      </c>
      <c r="J37">
        <v>57</v>
      </c>
      <c r="K37">
        <v>1</v>
      </c>
      <c r="L37">
        <v>56</v>
      </c>
      <c r="M37">
        <v>1.47</v>
      </c>
      <c r="O37" t="s">
        <v>751</v>
      </c>
      <c r="P37" t="s">
        <v>752</v>
      </c>
    </row>
    <row r="38" spans="1:16" x14ac:dyDescent="0.2">
      <c r="A38" t="str" cm="1">
        <f t="array" ref="A38">_xlfn.IFS(C38="it ITA", "Serie A", C38="eng ENG", "Premier League", C38="de GER", "Bundesliga", C38="es ESP", "La Liga", C38="fr FRA", "Ligue 1")</f>
        <v>Serie A</v>
      </c>
      <c r="B38" t="s">
        <v>49</v>
      </c>
      <c r="C38" t="s">
        <v>147</v>
      </c>
      <c r="D38">
        <v>7</v>
      </c>
      <c r="E38">
        <v>38</v>
      </c>
      <c r="F38">
        <v>16</v>
      </c>
      <c r="G38">
        <v>7</v>
      </c>
      <c r="H38">
        <v>15</v>
      </c>
      <c r="I38">
        <v>55</v>
      </c>
      <c r="J38">
        <v>56</v>
      </c>
      <c r="K38">
        <v>-1</v>
      </c>
      <c r="L38">
        <v>55</v>
      </c>
      <c r="M38">
        <v>1.45</v>
      </c>
      <c r="O38" t="s">
        <v>753</v>
      </c>
      <c r="P38" t="s">
        <v>185</v>
      </c>
    </row>
    <row r="39" spans="1:16" x14ac:dyDescent="0.2">
      <c r="A39" t="str" cm="1">
        <f t="array" ref="A39">_xlfn.IFS(C39="it ITA", "Serie A", C39="eng ENG", "Premier League", C39="de GER", "Bundesliga", C39="es ESP", "La Liga", C39="fr FRA", "Ligue 1")</f>
        <v>Ligue 1</v>
      </c>
      <c r="B39" t="s">
        <v>90</v>
      </c>
      <c r="C39" t="s">
        <v>157</v>
      </c>
      <c r="D39">
        <v>8</v>
      </c>
      <c r="E39">
        <v>38</v>
      </c>
      <c r="F39">
        <v>15</v>
      </c>
      <c r="G39">
        <v>10</v>
      </c>
      <c r="H39">
        <v>13</v>
      </c>
      <c r="I39">
        <v>39</v>
      </c>
      <c r="J39">
        <v>45</v>
      </c>
      <c r="K39">
        <v>-6</v>
      </c>
      <c r="L39">
        <v>55</v>
      </c>
      <c r="M39">
        <v>1.45</v>
      </c>
      <c r="O39" t="s">
        <v>754</v>
      </c>
      <c r="P39" t="s">
        <v>755</v>
      </c>
    </row>
    <row r="40" spans="1:16" x14ac:dyDescent="0.2">
      <c r="A40" t="str" cm="1">
        <f t="array" ref="A40">_xlfn.IFS(C40="it ITA", "Serie A", C40="eng ENG", "Premier League", C40="de GER", "Bundesliga", C40="es ESP", "La Liga", C40="fr FRA", "Ligue 1")</f>
        <v>La Liga</v>
      </c>
      <c r="B40" t="s">
        <v>342</v>
      </c>
      <c r="C40" t="s">
        <v>165</v>
      </c>
      <c r="D40">
        <v>8</v>
      </c>
      <c r="E40">
        <v>38</v>
      </c>
      <c r="F40">
        <v>15</v>
      </c>
      <c r="G40">
        <v>9</v>
      </c>
      <c r="H40">
        <v>14</v>
      </c>
      <c r="I40">
        <v>50</v>
      </c>
      <c r="J40">
        <v>53</v>
      </c>
      <c r="K40">
        <v>-3</v>
      </c>
      <c r="L40">
        <v>54</v>
      </c>
      <c r="M40">
        <v>1.42</v>
      </c>
      <c r="O40" t="s">
        <v>756</v>
      </c>
      <c r="P40" t="s">
        <v>635</v>
      </c>
    </row>
    <row r="41" spans="1:16" x14ac:dyDescent="0.2">
      <c r="A41" t="str" cm="1">
        <f t="array" ref="A41">_xlfn.IFS(C41="it ITA", "Serie A", C41="eng ENG", "Premier League", C41="de GER", "Bundesliga", C41="es ESP", "La Liga", C41="fr FRA", "Ligue 1")</f>
        <v>Ligue 1</v>
      </c>
      <c r="B41" t="s">
        <v>131</v>
      </c>
      <c r="C41" t="s">
        <v>157</v>
      </c>
      <c r="D41">
        <v>9</v>
      </c>
      <c r="E41">
        <v>38</v>
      </c>
      <c r="F41">
        <v>14</v>
      </c>
      <c r="G41">
        <v>11</v>
      </c>
      <c r="H41">
        <v>13</v>
      </c>
      <c r="I41">
        <v>52</v>
      </c>
      <c r="J41">
        <v>41</v>
      </c>
      <c r="K41">
        <v>11</v>
      </c>
      <c r="L41">
        <v>53</v>
      </c>
      <c r="M41">
        <v>1.39</v>
      </c>
      <c r="O41" t="s">
        <v>757</v>
      </c>
      <c r="P41" t="s">
        <v>758</v>
      </c>
    </row>
    <row r="42" spans="1:16" x14ac:dyDescent="0.2">
      <c r="A42" t="str" cm="1">
        <f t="array" ref="A42">_xlfn.IFS(C42="it ITA", "Serie A", C42="eng ENG", "Premier League", C42="de GER", "Bundesliga", C42="es ESP", "La Liga", C42="fr FRA", "Ligue 1")</f>
        <v>Bundesliga</v>
      </c>
      <c r="B42" t="s">
        <v>688</v>
      </c>
      <c r="C42" t="s">
        <v>160</v>
      </c>
      <c r="D42">
        <v>9</v>
      </c>
      <c r="E42">
        <v>34</v>
      </c>
      <c r="F42">
        <v>12</v>
      </c>
      <c r="G42">
        <v>11</v>
      </c>
      <c r="H42">
        <v>11</v>
      </c>
      <c r="I42">
        <v>36</v>
      </c>
      <c r="J42">
        <v>42</v>
      </c>
      <c r="K42">
        <v>-6</v>
      </c>
      <c r="L42">
        <v>47</v>
      </c>
      <c r="M42">
        <v>1.38</v>
      </c>
      <c r="O42" t="s">
        <v>759</v>
      </c>
      <c r="P42" t="s">
        <v>760</v>
      </c>
    </row>
    <row r="43" spans="1:16" x14ac:dyDescent="0.2">
      <c r="A43" t="str" cm="1">
        <f t="array" ref="A43">_xlfn.IFS(C43="it ITA", "Serie A", C43="eng ENG", "Premier League", C43="de GER", "Bundesliga", C43="es ESP", "La Liga", C43="fr FRA", "Ligue 1")</f>
        <v>Ligue 1</v>
      </c>
      <c r="B43" t="s">
        <v>855</v>
      </c>
      <c r="C43" t="s">
        <v>157</v>
      </c>
      <c r="D43">
        <v>10</v>
      </c>
      <c r="E43">
        <v>38</v>
      </c>
      <c r="F43">
        <v>14</v>
      </c>
      <c r="G43">
        <v>10</v>
      </c>
      <c r="H43">
        <v>14</v>
      </c>
      <c r="I43">
        <v>50</v>
      </c>
      <c r="J43">
        <v>50</v>
      </c>
      <c r="K43">
        <v>0</v>
      </c>
      <c r="L43">
        <v>52</v>
      </c>
      <c r="M43">
        <v>1.37</v>
      </c>
      <c r="O43" t="s">
        <v>761</v>
      </c>
      <c r="P43" t="s">
        <v>442</v>
      </c>
    </row>
    <row r="44" spans="1:16" x14ac:dyDescent="0.2">
      <c r="A44" t="str" cm="1">
        <f t="array" ref="A44">_xlfn.IFS(C44="it ITA", "Serie A", C44="eng ENG", "Premier League", C44="de GER", "Bundesliga", C44="es ESP", "La Liga", C44="fr FRA", "Ligue 1")</f>
        <v>Serie A</v>
      </c>
      <c r="B44" t="s">
        <v>54</v>
      </c>
      <c r="C44" t="s">
        <v>147</v>
      </c>
      <c r="D44">
        <v>8</v>
      </c>
      <c r="E44">
        <v>38</v>
      </c>
      <c r="F44">
        <v>14</v>
      </c>
      <c r="G44">
        <v>10</v>
      </c>
      <c r="H44">
        <v>14</v>
      </c>
      <c r="I44">
        <v>46</v>
      </c>
      <c r="J44">
        <v>51</v>
      </c>
      <c r="K44">
        <v>-5</v>
      </c>
      <c r="L44">
        <v>52</v>
      </c>
      <c r="M44">
        <v>1.37</v>
      </c>
      <c r="O44" t="s">
        <v>762</v>
      </c>
      <c r="P44" t="s">
        <v>648</v>
      </c>
    </row>
    <row r="45" spans="1:16" x14ac:dyDescent="0.2">
      <c r="A45" t="str" cm="1">
        <f t="array" ref="A45">_xlfn.IFS(C45="it ITA", "Serie A", C45="eng ENG", "Premier League", C45="de GER", "Bundesliga", C45="es ESP", "La Liga", C45="fr FRA", "Ligue 1")</f>
        <v>Bundesliga</v>
      </c>
      <c r="B45" t="s">
        <v>691</v>
      </c>
      <c r="C45" t="s">
        <v>160</v>
      </c>
      <c r="D45">
        <v>10</v>
      </c>
      <c r="E45">
        <v>34</v>
      </c>
      <c r="F45">
        <v>12</v>
      </c>
      <c r="G45">
        <v>10</v>
      </c>
      <c r="H45">
        <v>12</v>
      </c>
      <c r="I45">
        <v>47</v>
      </c>
      <c r="J45">
        <v>54</v>
      </c>
      <c r="K45">
        <v>-7</v>
      </c>
      <c r="L45">
        <v>46</v>
      </c>
      <c r="M45">
        <v>1.35</v>
      </c>
      <c r="O45" t="s">
        <v>763</v>
      </c>
      <c r="P45" t="s">
        <v>639</v>
      </c>
    </row>
    <row r="46" spans="1:16" x14ac:dyDescent="0.2">
      <c r="A46" t="str" cm="1">
        <f t="array" ref="A46">_xlfn.IFS(C46="it ITA", "Serie A", C46="eng ENG", "Premier League", C46="de GER", "Bundesliga", C46="es ESP", "La Liga", C46="fr FRA", "Ligue 1")</f>
        <v>Serie A</v>
      </c>
      <c r="B46" t="s">
        <v>47</v>
      </c>
      <c r="C46" t="s">
        <v>147</v>
      </c>
      <c r="D46">
        <v>9</v>
      </c>
      <c r="E46">
        <v>38</v>
      </c>
      <c r="F46">
        <v>14</v>
      </c>
      <c r="G46">
        <v>9</v>
      </c>
      <c r="H46">
        <v>15</v>
      </c>
      <c r="I46">
        <v>57</v>
      </c>
      <c r="J46">
        <v>61</v>
      </c>
      <c r="K46">
        <v>-4</v>
      </c>
      <c r="L46">
        <v>51</v>
      </c>
      <c r="M46">
        <v>1.34</v>
      </c>
      <c r="O46" t="s">
        <v>764</v>
      </c>
      <c r="P46" t="s">
        <v>598</v>
      </c>
    </row>
    <row r="47" spans="1:16" x14ac:dyDescent="0.2">
      <c r="A47" t="str" cm="1">
        <f t="array" ref="A47">_xlfn.IFS(C47="it ITA", "Serie A", C47="eng ENG", "Premier League", C47="de GER", "Bundesliga", C47="es ESP", "La Liga", C47="fr FRA", "Ligue 1")</f>
        <v>Serie A</v>
      </c>
      <c r="B47" t="s">
        <v>119</v>
      </c>
      <c r="C47" t="s">
        <v>147</v>
      </c>
      <c r="D47">
        <v>10</v>
      </c>
      <c r="E47">
        <v>38</v>
      </c>
      <c r="F47">
        <v>13</v>
      </c>
      <c r="G47">
        <v>11</v>
      </c>
      <c r="H47">
        <v>14</v>
      </c>
      <c r="I47">
        <v>49</v>
      </c>
      <c r="J47">
        <v>49</v>
      </c>
      <c r="K47">
        <v>0</v>
      </c>
      <c r="L47">
        <v>50</v>
      </c>
      <c r="M47">
        <v>1.32</v>
      </c>
      <c r="O47" t="s">
        <v>765</v>
      </c>
      <c r="P47" t="s">
        <v>766</v>
      </c>
    </row>
    <row r="48" spans="1:16" x14ac:dyDescent="0.2">
      <c r="A48" t="str" cm="1">
        <f t="array" ref="A48">_xlfn.IFS(C48="it ITA", "Serie A", C48="eng ENG", "Premier League", C48="de GER", "Bundesliga", C48="es ESP", "La Liga", C48="fr FRA", "Ligue 1")</f>
        <v>Premier League</v>
      </c>
      <c r="B48" t="s">
        <v>695</v>
      </c>
      <c r="C48" t="s">
        <v>150</v>
      </c>
      <c r="D48">
        <v>9</v>
      </c>
      <c r="E48">
        <v>38</v>
      </c>
      <c r="F48">
        <v>13</v>
      </c>
      <c r="G48">
        <v>11</v>
      </c>
      <c r="H48">
        <v>14</v>
      </c>
      <c r="I48">
        <v>38</v>
      </c>
      <c r="J48">
        <v>47</v>
      </c>
      <c r="K48">
        <v>-9</v>
      </c>
      <c r="L48">
        <v>50</v>
      </c>
      <c r="M48">
        <v>1.32</v>
      </c>
      <c r="N48" s="1">
        <v>25246</v>
      </c>
      <c r="O48" t="s">
        <v>767</v>
      </c>
      <c r="P48" t="s">
        <v>768</v>
      </c>
    </row>
    <row r="49" spans="1:16" x14ac:dyDescent="0.2">
      <c r="A49" t="str" cm="1">
        <f t="array" ref="A49">_xlfn.IFS(C49="it ITA", "Serie A", C49="eng ENG", "Premier League", C49="de GER", "Bundesliga", C49="es ESP", "La Liga", C49="fr FRA", "Ligue 1")</f>
        <v>Premier League</v>
      </c>
      <c r="B49" t="s">
        <v>3</v>
      </c>
      <c r="C49" t="s">
        <v>150</v>
      </c>
      <c r="D49">
        <v>10</v>
      </c>
      <c r="E49">
        <v>38</v>
      </c>
      <c r="F49">
        <v>13</v>
      </c>
      <c r="G49">
        <v>11</v>
      </c>
      <c r="H49">
        <v>14</v>
      </c>
      <c r="I49">
        <v>41</v>
      </c>
      <c r="J49">
        <v>55</v>
      </c>
      <c r="K49">
        <v>-14</v>
      </c>
      <c r="L49">
        <v>50</v>
      </c>
      <c r="M49">
        <v>1.32</v>
      </c>
      <c r="N49" s="1">
        <v>25428</v>
      </c>
      <c r="O49" t="s">
        <v>769</v>
      </c>
      <c r="P49" t="s">
        <v>554</v>
      </c>
    </row>
    <row r="50" spans="1:16" x14ac:dyDescent="0.2">
      <c r="A50" t="str" cm="1">
        <f t="array" ref="A50">_xlfn.IFS(C50="it ITA", "Serie A", C50="eng ENG", "Premier League", C50="de GER", "Bundesliga", C50="es ESP", "La Liga", C50="fr FRA", "Ligue 1")</f>
        <v>Ligue 1</v>
      </c>
      <c r="B50" t="s">
        <v>91</v>
      </c>
      <c r="C50" t="s">
        <v>157</v>
      </c>
      <c r="D50">
        <v>11</v>
      </c>
      <c r="E50">
        <v>38</v>
      </c>
      <c r="F50">
        <v>12</v>
      </c>
      <c r="G50">
        <v>12</v>
      </c>
      <c r="H50">
        <v>14</v>
      </c>
      <c r="I50">
        <v>40</v>
      </c>
      <c r="J50">
        <v>44</v>
      </c>
      <c r="K50">
        <v>-4</v>
      </c>
      <c r="L50">
        <v>48</v>
      </c>
      <c r="M50">
        <v>1.26</v>
      </c>
      <c r="O50" t="s">
        <v>770</v>
      </c>
      <c r="P50" t="s">
        <v>426</v>
      </c>
    </row>
    <row r="51" spans="1:16" x14ac:dyDescent="0.2">
      <c r="A51" t="str" cm="1">
        <f t="array" ref="A51">_xlfn.IFS(C51="it ITA", "Serie A", C51="eng ENG", "Premier League", C51="de GER", "Bundesliga", C51="es ESP", "La Liga", C51="fr FRA", "Ligue 1")</f>
        <v>Ligue 1</v>
      </c>
      <c r="B51" t="s">
        <v>686</v>
      </c>
      <c r="C51" t="s">
        <v>157</v>
      </c>
      <c r="D51">
        <v>12</v>
      </c>
      <c r="E51">
        <v>38</v>
      </c>
      <c r="F51">
        <v>13</v>
      </c>
      <c r="G51">
        <v>9</v>
      </c>
      <c r="H51">
        <v>16</v>
      </c>
      <c r="I51">
        <v>46</v>
      </c>
      <c r="J51">
        <v>53</v>
      </c>
      <c r="K51">
        <v>-7</v>
      </c>
      <c r="L51">
        <v>48</v>
      </c>
      <c r="M51">
        <v>1.26</v>
      </c>
      <c r="O51" t="s">
        <v>771</v>
      </c>
      <c r="P51" t="s">
        <v>600</v>
      </c>
    </row>
    <row r="52" spans="1:16" x14ac:dyDescent="0.2">
      <c r="A52" t="str" cm="1">
        <f t="array" ref="A52">_xlfn.IFS(C52="it ITA", "Serie A", C52="eng ENG", "Premier League", C52="de GER", "Bundesliga", C52="es ESP", "La Liga", C52="fr FRA", "Ligue 1")</f>
        <v>Ligue 1</v>
      </c>
      <c r="B52" t="s">
        <v>344</v>
      </c>
      <c r="C52" t="s">
        <v>157</v>
      </c>
      <c r="D52">
        <v>13</v>
      </c>
      <c r="E52">
        <v>38</v>
      </c>
      <c r="F52">
        <v>12</v>
      </c>
      <c r="G52">
        <v>11</v>
      </c>
      <c r="H52">
        <v>15</v>
      </c>
      <c r="I52">
        <v>50</v>
      </c>
      <c r="J52">
        <v>46</v>
      </c>
      <c r="K52">
        <v>4</v>
      </c>
      <c r="L52">
        <v>47</v>
      </c>
      <c r="M52">
        <v>1.24</v>
      </c>
      <c r="O52" t="s">
        <v>772</v>
      </c>
      <c r="P52" t="s">
        <v>773</v>
      </c>
    </row>
    <row r="53" spans="1:16" x14ac:dyDescent="0.2">
      <c r="A53" t="str" cm="1">
        <f t="array" ref="A53">_xlfn.IFS(C53="it ITA", "Serie A", C53="eng ENG", "Premier League", C53="de GER", "Bundesliga", C53="es ESP", "La Liga", C53="fr FRA", "Ligue 1")</f>
        <v>Bundesliga</v>
      </c>
      <c r="B53" t="s">
        <v>856</v>
      </c>
      <c r="C53" t="s">
        <v>160</v>
      </c>
      <c r="D53">
        <v>11</v>
      </c>
      <c r="E53">
        <v>34</v>
      </c>
      <c r="F53">
        <v>11</v>
      </c>
      <c r="G53">
        <v>9</v>
      </c>
      <c r="H53">
        <v>14</v>
      </c>
      <c r="I53">
        <v>44</v>
      </c>
      <c r="J53">
        <v>42</v>
      </c>
      <c r="K53">
        <v>2</v>
      </c>
      <c r="L53">
        <v>42</v>
      </c>
      <c r="M53">
        <v>1.24</v>
      </c>
      <c r="O53" t="s">
        <v>774</v>
      </c>
      <c r="P53" t="s">
        <v>401</v>
      </c>
    </row>
    <row r="54" spans="1:16" x14ac:dyDescent="0.2">
      <c r="A54" t="str" cm="1">
        <f t="array" ref="A54">_xlfn.IFS(C54="it ITA", "Serie A", C54="eng ENG", "Premier League", C54="de GER", "Bundesliga", C54="es ESP", "La Liga", C54="fr FRA", "Ligue 1")</f>
        <v>Serie A</v>
      </c>
      <c r="B54" t="s">
        <v>123</v>
      </c>
      <c r="C54" t="s">
        <v>147</v>
      </c>
      <c r="D54">
        <v>11</v>
      </c>
      <c r="E54">
        <v>38</v>
      </c>
      <c r="F54">
        <v>13</v>
      </c>
      <c r="G54">
        <v>8</v>
      </c>
      <c r="H54">
        <v>17</v>
      </c>
      <c r="I54">
        <v>48</v>
      </c>
      <c r="J54">
        <v>47</v>
      </c>
      <c r="K54">
        <v>1</v>
      </c>
      <c r="L54">
        <v>47</v>
      </c>
      <c r="M54">
        <v>1.24</v>
      </c>
      <c r="O54" t="s">
        <v>775</v>
      </c>
      <c r="P54" t="s">
        <v>333</v>
      </c>
    </row>
    <row r="55" spans="1:16" x14ac:dyDescent="0.2">
      <c r="A55" t="str" cm="1">
        <f t="array" ref="A55">_xlfn.IFS(C55="it ITA", "Serie A", C55="eng ENG", "Premier League", C55="de GER", "Bundesliga", C55="es ESP", "La Liga", C55="fr FRA", "Ligue 1")</f>
        <v>Ligue 1</v>
      </c>
      <c r="B55" t="s">
        <v>103</v>
      </c>
      <c r="C55" t="s">
        <v>157</v>
      </c>
      <c r="D55">
        <v>14</v>
      </c>
      <c r="E55">
        <v>38</v>
      </c>
      <c r="F55">
        <v>12</v>
      </c>
      <c r="G55">
        <v>11</v>
      </c>
      <c r="H55">
        <v>15</v>
      </c>
      <c r="I55">
        <v>36</v>
      </c>
      <c r="J55">
        <v>36</v>
      </c>
      <c r="K55">
        <v>0</v>
      </c>
      <c r="L55">
        <v>47</v>
      </c>
      <c r="M55">
        <v>1.24</v>
      </c>
      <c r="O55" t="s">
        <v>776</v>
      </c>
      <c r="P55" t="s">
        <v>589</v>
      </c>
    </row>
    <row r="56" spans="1:16" x14ac:dyDescent="0.2">
      <c r="A56" t="str" cm="1">
        <f t="array" ref="A56">_xlfn.IFS(C56="it ITA", "Serie A", C56="eng ENG", "Premier League", C56="de GER", "Bundesliga", C56="es ESP", "La Liga", C56="fr FRA", "Ligue 1")</f>
        <v>La Liga</v>
      </c>
      <c r="B56" t="s">
        <v>25</v>
      </c>
      <c r="C56" t="s">
        <v>165</v>
      </c>
      <c r="D56">
        <v>9</v>
      </c>
      <c r="E56">
        <v>38</v>
      </c>
      <c r="F56">
        <v>13</v>
      </c>
      <c r="G56">
        <v>8</v>
      </c>
      <c r="H56">
        <v>17</v>
      </c>
      <c r="I56">
        <v>57</v>
      </c>
      <c r="J56">
        <v>61</v>
      </c>
      <c r="K56">
        <v>-4</v>
      </c>
      <c r="L56">
        <v>47</v>
      </c>
      <c r="M56">
        <v>1.24</v>
      </c>
      <c r="O56" t="s">
        <v>777</v>
      </c>
      <c r="P56" t="s">
        <v>778</v>
      </c>
    </row>
    <row r="57" spans="1:16" x14ac:dyDescent="0.2">
      <c r="A57" t="str" cm="1">
        <f t="array" ref="A57">_xlfn.IFS(C57="it ITA", "Serie A", C57="eng ENG", "Premier League", C57="de GER", "Bundesliga", C57="es ESP", "La Liga", C57="fr FRA", "Ligue 1")</f>
        <v>Premier League</v>
      </c>
      <c r="B57" t="s">
        <v>857</v>
      </c>
      <c r="C57" t="s">
        <v>150</v>
      </c>
      <c r="D57">
        <v>11</v>
      </c>
      <c r="E57">
        <v>38</v>
      </c>
      <c r="F57">
        <v>11</v>
      </c>
      <c r="G57">
        <v>14</v>
      </c>
      <c r="H57">
        <v>13</v>
      </c>
      <c r="I57">
        <v>34</v>
      </c>
      <c r="J57">
        <v>48</v>
      </c>
      <c r="K57">
        <v>-14</v>
      </c>
      <c r="L57">
        <v>47</v>
      </c>
      <c r="M57">
        <v>1.24</v>
      </c>
      <c r="N57" s="1">
        <v>30358</v>
      </c>
      <c r="O57" t="s">
        <v>779</v>
      </c>
      <c r="P57" t="s">
        <v>477</v>
      </c>
    </row>
    <row r="58" spans="1:16" x14ac:dyDescent="0.2">
      <c r="A58" t="str" cm="1">
        <f t="array" ref="A58">_xlfn.IFS(C58="it ITA", "Serie A", C58="eng ENG", "Premier League", C58="de GER", "Bundesliga", C58="es ESP", "La Liga", C58="fr FRA", "Ligue 1")</f>
        <v>La Liga</v>
      </c>
      <c r="B58" t="s">
        <v>509</v>
      </c>
      <c r="C58" t="s">
        <v>165</v>
      </c>
      <c r="D58">
        <v>10</v>
      </c>
      <c r="E58">
        <v>38</v>
      </c>
      <c r="F58">
        <v>13</v>
      </c>
      <c r="G58">
        <v>8</v>
      </c>
      <c r="H58">
        <v>17</v>
      </c>
      <c r="I58">
        <v>35</v>
      </c>
      <c r="J58">
        <v>49</v>
      </c>
      <c r="K58">
        <v>-14</v>
      </c>
      <c r="L58">
        <v>47</v>
      </c>
      <c r="M58">
        <v>1.24</v>
      </c>
      <c r="O58" t="s">
        <v>780</v>
      </c>
      <c r="P58" t="s">
        <v>781</v>
      </c>
    </row>
    <row r="59" spans="1:16" x14ac:dyDescent="0.2">
      <c r="A59" t="str" cm="1">
        <f t="array" ref="A59">_xlfn.IFS(C59="it ITA", "Serie A", C59="eng ENG", "Premier League", C59="de GER", "Bundesliga", C59="es ESP", "La Liga", C59="fr FRA", "Ligue 1")</f>
        <v>Serie A</v>
      </c>
      <c r="B59" t="s">
        <v>50</v>
      </c>
      <c r="C59" t="s">
        <v>147</v>
      </c>
      <c r="D59">
        <v>12</v>
      </c>
      <c r="E59">
        <v>38</v>
      </c>
      <c r="F59">
        <v>11</v>
      </c>
      <c r="G59">
        <v>13</v>
      </c>
      <c r="H59">
        <v>14</v>
      </c>
      <c r="I59">
        <v>39</v>
      </c>
      <c r="J59">
        <v>43</v>
      </c>
      <c r="K59">
        <v>-4</v>
      </c>
      <c r="L59">
        <v>46</v>
      </c>
      <c r="M59">
        <v>1.21</v>
      </c>
      <c r="O59" t="s">
        <v>782</v>
      </c>
      <c r="P59" t="s">
        <v>783</v>
      </c>
    </row>
    <row r="60" spans="1:16" x14ac:dyDescent="0.2">
      <c r="A60" t="str" cm="1">
        <f t="array" ref="A60">_xlfn.IFS(C60="it ITA", "Serie A", C60="eng ENG", "Premier League", C60="de GER", "Bundesliga", C60="es ESP", "La Liga", C60="fr FRA", "Ligue 1")</f>
        <v>Premier League</v>
      </c>
      <c r="B60" t="s">
        <v>516</v>
      </c>
      <c r="C60" t="s">
        <v>150</v>
      </c>
      <c r="D60">
        <v>12</v>
      </c>
      <c r="E60">
        <v>38</v>
      </c>
      <c r="F60">
        <v>12</v>
      </c>
      <c r="G60">
        <v>10</v>
      </c>
      <c r="H60">
        <v>16</v>
      </c>
      <c r="I60">
        <v>39</v>
      </c>
      <c r="J60">
        <v>46</v>
      </c>
      <c r="K60">
        <v>-7</v>
      </c>
      <c r="L60">
        <v>46</v>
      </c>
      <c r="M60">
        <v>1.21</v>
      </c>
      <c r="N60" s="1">
        <v>23909</v>
      </c>
      <c r="O60" t="s">
        <v>784</v>
      </c>
      <c r="P60" t="s">
        <v>452</v>
      </c>
    </row>
    <row r="61" spans="1:16" x14ac:dyDescent="0.2">
      <c r="A61" t="str" cm="1">
        <f t="array" ref="A61">_xlfn.IFS(C61="it ITA", "Serie A", C61="eng ENG", "Premier League", C61="de GER", "Bundesliga", C61="es ESP", "La Liga", C61="fr FRA", "Ligue 1")</f>
        <v>Serie A</v>
      </c>
      <c r="B61" t="s">
        <v>858</v>
      </c>
      <c r="C61" t="s">
        <v>147</v>
      </c>
      <c r="D61">
        <v>13</v>
      </c>
      <c r="E61">
        <v>38</v>
      </c>
      <c r="F61">
        <v>10</v>
      </c>
      <c r="G61">
        <v>15</v>
      </c>
      <c r="H61">
        <v>13</v>
      </c>
      <c r="I61">
        <v>44</v>
      </c>
      <c r="J61">
        <v>45</v>
      </c>
      <c r="K61">
        <v>-1</v>
      </c>
      <c r="L61">
        <v>45</v>
      </c>
      <c r="M61">
        <v>1.18</v>
      </c>
      <c r="O61" t="s">
        <v>785</v>
      </c>
      <c r="P61" t="s">
        <v>587</v>
      </c>
    </row>
    <row r="62" spans="1:16" x14ac:dyDescent="0.2">
      <c r="A62" t="str" cm="1">
        <f t="array" ref="A62">_xlfn.IFS(C62="it ITA", "Serie A", C62="eng ENG", "Premier League", C62="de GER", "Bundesliga", C62="es ESP", "La Liga", C62="fr FRA", "Ligue 1")</f>
        <v>Serie A</v>
      </c>
      <c r="B62" t="s">
        <v>44</v>
      </c>
      <c r="C62" t="s">
        <v>147</v>
      </c>
      <c r="D62">
        <v>16</v>
      </c>
      <c r="E62">
        <v>38</v>
      </c>
      <c r="F62">
        <v>11</v>
      </c>
      <c r="G62">
        <v>11</v>
      </c>
      <c r="H62">
        <v>16</v>
      </c>
      <c r="I62">
        <v>56</v>
      </c>
      <c r="J62">
        <v>58</v>
      </c>
      <c r="K62">
        <v>-2</v>
      </c>
      <c r="L62">
        <v>44</v>
      </c>
      <c r="M62">
        <v>1.1599999999999999</v>
      </c>
      <c r="O62" t="s">
        <v>786</v>
      </c>
      <c r="P62" t="s">
        <v>787</v>
      </c>
    </row>
    <row r="63" spans="1:16" x14ac:dyDescent="0.2">
      <c r="A63" t="str" cm="1">
        <f t="array" ref="A63">_xlfn.IFS(C63="it ITA", "Serie A", C63="eng ENG", "Premier League", C63="de GER", "Bundesliga", C63="es ESP", "La Liga", C63="fr FRA", "Ligue 1")</f>
        <v>Serie A</v>
      </c>
      <c r="B63" t="s">
        <v>60</v>
      </c>
      <c r="C63" t="s">
        <v>147</v>
      </c>
      <c r="D63">
        <v>15</v>
      </c>
      <c r="E63">
        <v>38</v>
      </c>
      <c r="F63">
        <v>11</v>
      </c>
      <c r="G63">
        <v>11</v>
      </c>
      <c r="H63">
        <v>16</v>
      </c>
      <c r="I63">
        <v>54</v>
      </c>
      <c r="J63">
        <v>59</v>
      </c>
      <c r="K63">
        <v>-5</v>
      </c>
      <c r="L63">
        <v>44</v>
      </c>
      <c r="M63">
        <v>1.1599999999999999</v>
      </c>
      <c r="O63" t="s">
        <v>788</v>
      </c>
      <c r="P63" t="s">
        <v>789</v>
      </c>
    </row>
    <row r="64" spans="1:16" x14ac:dyDescent="0.2">
      <c r="A64" t="str" cm="1">
        <f t="array" ref="A64">_xlfn.IFS(C64="it ITA", "Serie A", C64="eng ENG", "Premier League", C64="de GER", "Bundesliga", C64="es ESP", "La Liga", C64="fr FRA", "Ligue 1")</f>
        <v>Serie A</v>
      </c>
      <c r="B64" t="s">
        <v>510</v>
      </c>
      <c r="C64" t="s">
        <v>147</v>
      </c>
      <c r="D64">
        <v>14</v>
      </c>
      <c r="E64">
        <v>38</v>
      </c>
      <c r="F64">
        <v>12</v>
      </c>
      <c r="G64">
        <v>8</v>
      </c>
      <c r="H64">
        <v>18</v>
      </c>
      <c r="I64">
        <v>37</v>
      </c>
      <c r="J64">
        <v>42</v>
      </c>
      <c r="K64">
        <v>-5</v>
      </c>
      <c r="L64">
        <v>44</v>
      </c>
      <c r="M64">
        <v>1.1599999999999999</v>
      </c>
      <c r="O64" t="s">
        <v>790</v>
      </c>
      <c r="P64" t="s">
        <v>791</v>
      </c>
    </row>
    <row r="65" spans="1:16" x14ac:dyDescent="0.2">
      <c r="A65" t="str" cm="1">
        <f t="array" ref="A65">_xlfn.IFS(C65="it ITA", "Serie A", C65="eng ENG", "Premier League", C65="de GER", "Bundesliga", C65="es ESP", "La Liga", C65="fr FRA", "Ligue 1")</f>
        <v>Premier League</v>
      </c>
      <c r="B65" t="s">
        <v>522</v>
      </c>
      <c r="C65" t="s">
        <v>150</v>
      </c>
      <c r="D65">
        <v>13</v>
      </c>
      <c r="E65">
        <v>38</v>
      </c>
      <c r="F65">
        <v>11</v>
      </c>
      <c r="G65">
        <v>11</v>
      </c>
      <c r="H65">
        <v>16</v>
      </c>
      <c r="I65">
        <v>48</v>
      </c>
      <c r="J65">
        <v>56</v>
      </c>
      <c r="K65">
        <v>-8</v>
      </c>
      <c r="L65">
        <v>44</v>
      </c>
      <c r="M65">
        <v>1.1599999999999999</v>
      </c>
      <c r="N65" s="1">
        <v>40510</v>
      </c>
      <c r="O65" t="s">
        <v>792</v>
      </c>
      <c r="P65" t="s">
        <v>793</v>
      </c>
    </row>
    <row r="66" spans="1:16" x14ac:dyDescent="0.2">
      <c r="A66" t="str" cm="1">
        <f t="array" ref="A66">_xlfn.IFS(C66="it ITA", "Serie A", C66="eng ENG", "Premier League", C66="de GER", "Bundesliga", C66="es ESP", "La Liga", C66="fr FRA", "Ligue 1")</f>
        <v>Ligue 1</v>
      </c>
      <c r="B66" t="s">
        <v>680</v>
      </c>
      <c r="C66" t="s">
        <v>157</v>
      </c>
      <c r="D66">
        <v>15</v>
      </c>
      <c r="E66">
        <v>38</v>
      </c>
      <c r="F66">
        <v>11</v>
      </c>
      <c r="G66">
        <v>11</v>
      </c>
      <c r="H66">
        <v>16</v>
      </c>
      <c r="I66">
        <v>41</v>
      </c>
      <c r="J66">
        <v>57</v>
      </c>
      <c r="K66">
        <v>-16</v>
      </c>
      <c r="L66">
        <v>44</v>
      </c>
      <c r="M66">
        <v>1.1599999999999999</v>
      </c>
      <c r="O66" t="s">
        <v>794</v>
      </c>
      <c r="P66" t="s">
        <v>795</v>
      </c>
    </row>
    <row r="67" spans="1:16" x14ac:dyDescent="0.2">
      <c r="A67" t="str" cm="1">
        <f t="array" ref="A67">_xlfn.IFS(C67="it ITA", "Serie A", C67="eng ENG", "Premier League", C67="de GER", "Bundesliga", C67="es ESP", "La Liga", C67="fr FRA", "Ligue 1")</f>
        <v>La Liga</v>
      </c>
      <c r="B67" t="s">
        <v>112</v>
      </c>
      <c r="C67" t="s">
        <v>165</v>
      </c>
      <c r="D67">
        <v>11</v>
      </c>
      <c r="E67">
        <v>38</v>
      </c>
      <c r="F67">
        <v>11</v>
      </c>
      <c r="G67">
        <v>11</v>
      </c>
      <c r="H67">
        <v>16</v>
      </c>
      <c r="I67">
        <v>29</v>
      </c>
      <c r="J67">
        <v>46</v>
      </c>
      <c r="K67">
        <v>-17</v>
      </c>
      <c r="L67">
        <v>44</v>
      </c>
      <c r="M67">
        <v>1.1599999999999999</v>
      </c>
      <c r="O67" t="s">
        <v>796</v>
      </c>
      <c r="P67" t="s">
        <v>797</v>
      </c>
    </row>
    <row r="68" spans="1:16" x14ac:dyDescent="0.2">
      <c r="A68" t="str" cm="1">
        <f t="array" ref="A68">_xlfn.IFS(C68="it ITA", "Serie A", C68="eng ENG", "Premier League", C68="de GER", "Bundesliga", C68="es ESP", "La Liga", C68="fr FRA", "Ligue 1")</f>
        <v>Bundesliga</v>
      </c>
      <c r="B68" t="s">
        <v>353</v>
      </c>
      <c r="C68" t="s">
        <v>160</v>
      </c>
      <c r="D68">
        <v>12</v>
      </c>
      <c r="E68">
        <v>34</v>
      </c>
      <c r="F68">
        <v>10</v>
      </c>
      <c r="G68">
        <v>9</v>
      </c>
      <c r="H68">
        <v>15</v>
      </c>
      <c r="I68">
        <v>43</v>
      </c>
      <c r="J68">
        <v>60</v>
      </c>
      <c r="K68">
        <v>-17</v>
      </c>
      <c r="L68">
        <v>39</v>
      </c>
      <c r="M68">
        <v>1.1499999999999999</v>
      </c>
      <c r="O68" t="s">
        <v>798</v>
      </c>
      <c r="P68" t="s">
        <v>799</v>
      </c>
    </row>
    <row r="69" spans="1:16" x14ac:dyDescent="0.2">
      <c r="A69" t="str" cm="1">
        <f t="array" ref="A69">_xlfn.IFS(C69="it ITA", "Serie A", C69="eng ENG", "Premier League", C69="de GER", "Bundesliga", C69="es ESP", "La Liga", C69="fr FRA", "Ligue 1")</f>
        <v>La Liga</v>
      </c>
      <c r="B69" t="s">
        <v>38</v>
      </c>
      <c r="C69" t="s">
        <v>165</v>
      </c>
      <c r="D69">
        <v>12</v>
      </c>
      <c r="E69">
        <v>38</v>
      </c>
      <c r="F69">
        <v>11</v>
      </c>
      <c r="G69">
        <v>10</v>
      </c>
      <c r="H69">
        <v>17</v>
      </c>
      <c r="I69">
        <v>37</v>
      </c>
      <c r="J69">
        <v>46</v>
      </c>
      <c r="K69">
        <v>-9</v>
      </c>
      <c r="L69">
        <v>43</v>
      </c>
      <c r="M69">
        <v>1.1299999999999999</v>
      </c>
      <c r="O69" t="s">
        <v>800</v>
      </c>
      <c r="P69" t="s">
        <v>432</v>
      </c>
    </row>
    <row r="70" spans="1:16" x14ac:dyDescent="0.2">
      <c r="A70" t="str" cm="1">
        <f t="array" ref="A70">_xlfn.IFS(C70="it ITA", "Serie A", C70="eng ENG", "Premier League", C70="de GER", "Bundesliga", C70="es ESP", "La Liga", C70="fr FRA", "Ligue 1")</f>
        <v>Bundesliga</v>
      </c>
      <c r="B70" t="s">
        <v>355</v>
      </c>
      <c r="C70" t="s">
        <v>160</v>
      </c>
      <c r="D70">
        <v>13</v>
      </c>
      <c r="E70">
        <v>34</v>
      </c>
      <c r="F70">
        <v>9</v>
      </c>
      <c r="G70">
        <v>11</v>
      </c>
      <c r="H70">
        <v>14</v>
      </c>
      <c r="I70">
        <v>33</v>
      </c>
      <c r="J70">
        <v>42</v>
      </c>
      <c r="K70">
        <v>-9</v>
      </c>
      <c r="L70">
        <v>38</v>
      </c>
      <c r="M70">
        <v>1.1200000000000001</v>
      </c>
      <c r="O70" t="s">
        <v>801</v>
      </c>
      <c r="P70" t="s">
        <v>802</v>
      </c>
    </row>
    <row r="71" spans="1:16" x14ac:dyDescent="0.2">
      <c r="A71" t="str" cm="1">
        <f t="array" ref="A71">_xlfn.IFS(C71="it ITA", "Serie A", C71="eng ENG", "Premier League", C71="de GER", "Bundesliga", C71="es ESP", "La Liga", C71="fr FRA", "Ligue 1")</f>
        <v>La Liga</v>
      </c>
      <c r="B71" t="s">
        <v>859</v>
      </c>
      <c r="C71" t="s">
        <v>165</v>
      </c>
      <c r="D71">
        <v>13</v>
      </c>
      <c r="E71">
        <v>38</v>
      </c>
      <c r="F71">
        <v>10</v>
      </c>
      <c r="G71">
        <v>12</v>
      </c>
      <c r="H71">
        <v>16</v>
      </c>
      <c r="I71">
        <v>43</v>
      </c>
      <c r="J71">
        <v>55</v>
      </c>
      <c r="K71">
        <v>-12</v>
      </c>
      <c r="L71">
        <v>42</v>
      </c>
      <c r="M71">
        <v>1.1100000000000001</v>
      </c>
      <c r="O71" t="s">
        <v>803</v>
      </c>
      <c r="P71" t="s">
        <v>804</v>
      </c>
    </row>
    <row r="72" spans="1:16" x14ac:dyDescent="0.2">
      <c r="A72" t="str" cm="1">
        <f t="array" ref="A72">_xlfn.IFS(C72="it ITA", "Serie A", C72="eng ENG", "Premier League", C72="de GER", "Bundesliga", C72="es ESP", "La Liga", C72="fr FRA", "Ligue 1")</f>
        <v>Serie A</v>
      </c>
      <c r="B72" t="s">
        <v>120</v>
      </c>
      <c r="C72" t="s">
        <v>147</v>
      </c>
      <c r="D72">
        <v>17</v>
      </c>
      <c r="E72">
        <v>38</v>
      </c>
      <c r="F72">
        <v>10</v>
      </c>
      <c r="G72">
        <v>12</v>
      </c>
      <c r="H72">
        <v>16</v>
      </c>
      <c r="I72">
        <v>42</v>
      </c>
      <c r="J72">
        <v>55</v>
      </c>
      <c r="K72">
        <v>-13</v>
      </c>
      <c r="L72">
        <v>42</v>
      </c>
      <c r="M72">
        <v>1.1100000000000001</v>
      </c>
      <c r="O72" t="s">
        <v>805</v>
      </c>
      <c r="P72" t="s">
        <v>806</v>
      </c>
    </row>
    <row r="73" spans="1:16" x14ac:dyDescent="0.2">
      <c r="A73" t="str" cm="1">
        <f t="array" ref="A73">_xlfn.IFS(C73="it ITA", "Serie A", C73="eng ENG", "Premier League", C73="de GER", "Bundesliga", C73="es ESP", "La Liga", C73="fr FRA", "Ligue 1")</f>
        <v>La Liga</v>
      </c>
      <c r="B73" t="s">
        <v>118</v>
      </c>
      <c r="C73" t="s">
        <v>165</v>
      </c>
      <c r="D73">
        <v>14</v>
      </c>
      <c r="E73">
        <v>38</v>
      </c>
      <c r="F73">
        <v>10</v>
      </c>
      <c r="G73">
        <v>11</v>
      </c>
      <c r="H73">
        <v>17</v>
      </c>
      <c r="I73">
        <v>46</v>
      </c>
      <c r="J73">
        <v>64</v>
      </c>
      <c r="K73">
        <v>-18</v>
      </c>
      <c r="L73">
        <v>41</v>
      </c>
      <c r="M73">
        <v>1.08</v>
      </c>
      <c r="O73" t="s">
        <v>807</v>
      </c>
      <c r="P73" t="s">
        <v>808</v>
      </c>
    </row>
    <row r="74" spans="1:16" x14ac:dyDescent="0.2">
      <c r="A74" t="str" cm="1">
        <f t="array" ref="A74">_xlfn.IFS(C74="it ITA", "Serie A", C74="eng ENG", "Premier League", C74="de GER", "Bundesliga", C74="es ESP", "La Liga", C74="fr FRA", "Ligue 1")</f>
        <v>Ligue 1</v>
      </c>
      <c r="B74" t="s">
        <v>95</v>
      </c>
      <c r="C74" t="s">
        <v>157</v>
      </c>
      <c r="D74">
        <v>16</v>
      </c>
      <c r="E74">
        <v>38</v>
      </c>
      <c r="F74">
        <v>11</v>
      </c>
      <c r="G74">
        <v>8</v>
      </c>
      <c r="H74">
        <v>19</v>
      </c>
      <c r="I74">
        <v>28</v>
      </c>
      <c r="J74">
        <v>52</v>
      </c>
      <c r="K74">
        <v>-24</v>
      </c>
      <c r="L74">
        <v>41</v>
      </c>
      <c r="M74">
        <v>1.08</v>
      </c>
      <c r="O74" t="s">
        <v>809</v>
      </c>
      <c r="P74" t="s">
        <v>307</v>
      </c>
    </row>
    <row r="75" spans="1:16" x14ac:dyDescent="0.2">
      <c r="A75" t="str" cm="1">
        <f t="array" ref="A75">_xlfn.IFS(C75="it ITA", "Serie A", C75="eng ENG", "Premier League", C75="de GER", "Bundesliga", C75="es ESP", "La Liga", C75="fr FRA", "Ligue 1")</f>
        <v>La Liga</v>
      </c>
      <c r="B75" t="s">
        <v>117</v>
      </c>
      <c r="C75" t="s">
        <v>165</v>
      </c>
      <c r="D75">
        <v>15</v>
      </c>
      <c r="E75">
        <v>38</v>
      </c>
      <c r="F75">
        <v>9</v>
      </c>
      <c r="G75">
        <v>13</v>
      </c>
      <c r="H75">
        <v>16</v>
      </c>
      <c r="I75">
        <v>36</v>
      </c>
      <c r="J75">
        <v>51</v>
      </c>
      <c r="K75">
        <v>-15</v>
      </c>
      <c r="L75">
        <v>40</v>
      </c>
      <c r="M75">
        <v>1.05</v>
      </c>
      <c r="O75" t="s">
        <v>810</v>
      </c>
      <c r="P75" t="s">
        <v>811</v>
      </c>
    </row>
    <row r="76" spans="1:16" x14ac:dyDescent="0.2">
      <c r="A76" t="str" cm="1">
        <f t="array" ref="A76">_xlfn.IFS(C76="it ITA", "Serie A", C76="eng ENG", "Premier League", C76="de GER", "Bundesliga", C76="es ESP", "La Liga", C76="fr FRA", "Ligue 1")</f>
        <v>Ligue 1</v>
      </c>
      <c r="B76" t="s">
        <v>92</v>
      </c>
      <c r="C76" t="s">
        <v>157</v>
      </c>
      <c r="D76">
        <v>17</v>
      </c>
      <c r="E76">
        <v>38</v>
      </c>
      <c r="F76">
        <v>10</v>
      </c>
      <c r="G76">
        <v>10</v>
      </c>
      <c r="H76">
        <v>18</v>
      </c>
      <c r="I76">
        <v>27</v>
      </c>
      <c r="J76">
        <v>45</v>
      </c>
      <c r="K76">
        <v>-18</v>
      </c>
      <c r="L76">
        <v>40</v>
      </c>
      <c r="M76">
        <v>1.05</v>
      </c>
      <c r="O76" t="s">
        <v>812</v>
      </c>
      <c r="P76" t="s">
        <v>606</v>
      </c>
    </row>
    <row r="77" spans="1:16" x14ac:dyDescent="0.2">
      <c r="A77" t="str" cm="1">
        <f t="array" ref="A77">_xlfn.IFS(C77="it ITA", "Serie A", C77="eng ENG", "Premier League", C77="de GER", "Bundesliga", C77="es ESP", "La Liga", C77="fr FRA", "Ligue 1")</f>
        <v>La Liga</v>
      </c>
      <c r="B77" t="s">
        <v>348</v>
      </c>
      <c r="C77" t="s">
        <v>165</v>
      </c>
      <c r="D77">
        <v>16</v>
      </c>
      <c r="E77">
        <v>38</v>
      </c>
      <c r="F77">
        <v>9</v>
      </c>
      <c r="G77">
        <v>12</v>
      </c>
      <c r="H77">
        <v>17</v>
      </c>
      <c r="I77">
        <v>42</v>
      </c>
      <c r="J77">
        <v>59</v>
      </c>
      <c r="K77">
        <v>-17</v>
      </c>
      <c r="L77">
        <v>39</v>
      </c>
      <c r="M77">
        <v>1.03</v>
      </c>
      <c r="O77" t="s">
        <v>813</v>
      </c>
      <c r="P77" t="s">
        <v>814</v>
      </c>
    </row>
    <row r="78" spans="1:16" x14ac:dyDescent="0.2">
      <c r="A78" t="str" cm="1">
        <f t="array" ref="A78">_xlfn.IFS(C78="it ITA", "Serie A", C78="eng ENG", "Premier League", C78="de GER", "Bundesliga", C78="es ESP", "La Liga", C78="fr FRA", "Ligue 1")</f>
        <v>Bundesliga</v>
      </c>
      <c r="B78" t="s">
        <v>70</v>
      </c>
      <c r="C78" t="s">
        <v>160</v>
      </c>
      <c r="D78">
        <v>14</v>
      </c>
      <c r="E78">
        <v>34</v>
      </c>
      <c r="F78">
        <v>9</v>
      </c>
      <c r="G78">
        <v>8</v>
      </c>
      <c r="H78">
        <v>17</v>
      </c>
      <c r="I78">
        <v>35</v>
      </c>
      <c r="J78">
        <v>59</v>
      </c>
      <c r="K78">
        <v>-24</v>
      </c>
      <c r="L78">
        <v>35</v>
      </c>
      <c r="M78">
        <v>1.03</v>
      </c>
      <c r="O78" t="s">
        <v>815</v>
      </c>
      <c r="P78" t="s">
        <v>816</v>
      </c>
    </row>
    <row r="79" spans="1:16" x14ac:dyDescent="0.2">
      <c r="A79" t="str" cm="1">
        <f t="array" ref="A79">_xlfn.IFS(C79="it ITA", "Serie A", C79="eng ENG", "Premier League", C79="de GER", "Bundesliga", C79="es ESP", "La Liga", C79="fr FRA", "Ligue 1")</f>
        <v>Premier League</v>
      </c>
      <c r="B79" t="s">
        <v>356</v>
      </c>
      <c r="C79" t="s">
        <v>150</v>
      </c>
      <c r="D79">
        <v>14</v>
      </c>
      <c r="E79">
        <v>38</v>
      </c>
      <c r="F79">
        <v>10</v>
      </c>
      <c r="G79">
        <v>9</v>
      </c>
      <c r="H79">
        <v>19</v>
      </c>
      <c r="I79">
        <v>42</v>
      </c>
      <c r="J79">
        <v>67</v>
      </c>
      <c r="K79">
        <v>-25</v>
      </c>
      <c r="L79">
        <v>39</v>
      </c>
      <c r="M79">
        <v>1.03</v>
      </c>
      <c r="N79" s="1">
        <v>21881</v>
      </c>
      <c r="O79" t="s">
        <v>817</v>
      </c>
      <c r="P79" t="s">
        <v>475</v>
      </c>
    </row>
    <row r="80" spans="1:16" x14ac:dyDescent="0.2">
      <c r="A80" t="str" cm="1">
        <f t="array" ref="A80">_xlfn.IFS(C80="it ITA", "Serie A", C80="eng ENG", "Premier League", C80="de GER", "Bundesliga", C80="es ESP", "La Liga", C80="fr FRA", "Ligue 1")</f>
        <v>Premier League</v>
      </c>
      <c r="B80" t="s">
        <v>860</v>
      </c>
      <c r="C80" t="s">
        <v>150</v>
      </c>
      <c r="D80">
        <v>15</v>
      </c>
      <c r="E80">
        <v>38</v>
      </c>
      <c r="F80">
        <v>9</v>
      </c>
      <c r="G80">
        <v>11</v>
      </c>
      <c r="H80">
        <v>18</v>
      </c>
      <c r="I80">
        <v>32</v>
      </c>
      <c r="J80">
        <v>56</v>
      </c>
      <c r="K80">
        <v>-24</v>
      </c>
      <c r="L80">
        <v>38</v>
      </c>
      <c r="M80">
        <v>1</v>
      </c>
      <c r="N80" s="1">
        <v>28366</v>
      </c>
      <c r="O80" t="s">
        <v>818</v>
      </c>
      <c r="P80" t="s">
        <v>819</v>
      </c>
    </row>
    <row r="81" spans="1:16" x14ac:dyDescent="0.2">
      <c r="A81" t="str" cm="1">
        <f t="array" ref="A81">_xlfn.IFS(C81="it ITA", "Serie A", C81="eng ENG", "Premier League", C81="de GER", "Bundesliga", C81="es ESP", "La Liga", C81="fr FRA", "Ligue 1")</f>
        <v>La Liga</v>
      </c>
      <c r="B81" t="s">
        <v>512</v>
      </c>
      <c r="C81" t="s">
        <v>165</v>
      </c>
      <c r="D81">
        <v>17</v>
      </c>
      <c r="E81">
        <v>38</v>
      </c>
      <c r="F81">
        <v>7</v>
      </c>
      <c r="G81">
        <v>16</v>
      </c>
      <c r="H81">
        <v>15</v>
      </c>
      <c r="I81">
        <v>42</v>
      </c>
      <c r="J81">
        <v>48</v>
      </c>
      <c r="K81">
        <v>-6</v>
      </c>
      <c r="L81">
        <v>37</v>
      </c>
      <c r="M81">
        <v>0.97</v>
      </c>
      <c r="O81" t="s">
        <v>820</v>
      </c>
      <c r="P81" t="s">
        <v>821</v>
      </c>
    </row>
    <row r="82" spans="1:16" x14ac:dyDescent="0.2">
      <c r="A82" t="str" cm="1">
        <f t="array" ref="A82">_xlfn.IFS(C82="it ITA", "Serie A", C82="eng ENG", "Premier League", C82="de GER", "Bundesliga", C82="es ESP", "La Liga", C82="fr FRA", "Ligue 1")</f>
        <v>Bundesliga</v>
      </c>
      <c r="B82" t="s">
        <v>689</v>
      </c>
      <c r="C82" t="s">
        <v>160</v>
      </c>
      <c r="D82">
        <v>15</v>
      </c>
      <c r="E82">
        <v>34</v>
      </c>
      <c r="F82">
        <v>9</v>
      </c>
      <c r="G82">
        <v>6</v>
      </c>
      <c r="H82">
        <v>19</v>
      </c>
      <c r="I82">
        <v>43</v>
      </c>
      <c r="J82">
        <v>67</v>
      </c>
      <c r="K82">
        <v>-24</v>
      </c>
      <c r="L82">
        <v>33</v>
      </c>
      <c r="M82">
        <v>0.97</v>
      </c>
      <c r="O82" t="s">
        <v>822</v>
      </c>
      <c r="P82" t="s">
        <v>823</v>
      </c>
    </row>
    <row r="83" spans="1:16" x14ac:dyDescent="0.2">
      <c r="A83" t="str" cm="1">
        <f t="array" ref="A83">_xlfn.IFS(C83="it ITA", "Serie A", C83="eng ENG", "Premier League", C83="de GER", "Bundesliga", C83="es ESP", "La Liga", C83="fr FRA", "Ligue 1")</f>
        <v>La Liga</v>
      </c>
      <c r="B83" t="s">
        <v>34</v>
      </c>
      <c r="C83" t="s">
        <v>165</v>
      </c>
      <c r="D83">
        <v>18</v>
      </c>
      <c r="E83">
        <v>38</v>
      </c>
      <c r="F83">
        <v>7</v>
      </c>
      <c r="G83">
        <v>15</v>
      </c>
      <c r="H83">
        <v>16</v>
      </c>
      <c r="I83">
        <v>37</v>
      </c>
      <c r="J83">
        <v>62</v>
      </c>
      <c r="K83">
        <v>-25</v>
      </c>
      <c r="L83">
        <v>36</v>
      </c>
      <c r="M83">
        <v>0.95</v>
      </c>
      <c r="O83" t="s">
        <v>824</v>
      </c>
      <c r="P83" t="s">
        <v>825</v>
      </c>
    </row>
    <row r="84" spans="1:16" x14ac:dyDescent="0.2">
      <c r="A84" t="str" cm="1">
        <f t="array" ref="A84">_xlfn.IFS(C84="it ITA", "Serie A", C84="eng ENG", "Premier League", C84="de GER", "Bundesliga", C84="es ESP", "La Liga", C84="fr FRA", "Ligue 1")</f>
        <v>La Liga</v>
      </c>
      <c r="B84" t="s">
        <v>36</v>
      </c>
      <c r="C84" t="s">
        <v>165</v>
      </c>
      <c r="D84">
        <v>19</v>
      </c>
      <c r="E84">
        <v>38</v>
      </c>
      <c r="F84">
        <v>9</v>
      </c>
      <c r="G84">
        <v>9</v>
      </c>
      <c r="H84">
        <v>20</v>
      </c>
      <c r="I84">
        <v>40</v>
      </c>
      <c r="J84">
        <v>74</v>
      </c>
      <c r="K84">
        <v>-34</v>
      </c>
      <c r="L84">
        <v>36</v>
      </c>
      <c r="M84">
        <v>0.95</v>
      </c>
      <c r="O84" t="s">
        <v>826</v>
      </c>
      <c r="P84" t="s">
        <v>487</v>
      </c>
    </row>
    <row r="85" spans="1:16" x14ac:dyDescent="0.2">
      <c r="A85" t="str" cm="1">
        <f t="array" ref="A85">_xlfn.IFS(C85="it ITA", "Serie A", C85="eng ENG", "Premier League", C85="de GER", "Bundesliga", C85="es ESP", "La Liga", C85="fr FRA", "Ligue 1")</f>
        <v>Premier League</v>
      </c>
      <c r="B85" t="s">
        <v>684</v>
      </c>
      <c r="C85" t="s">
        <v>150</v>
      </c>
      <c r="D85">
        <v>16</v>
      </c>
      <c r="E85">
        <v>38</v>
      </c>
      <c r="F85">
        <v>9</v>
      </c>
      <c r="G85">
        <v>9</v>
      </c>
      <c r="H85">
        <v>20</v>
      </c>
      <c r="I85">
        <v>37</v>
      </c>
      <c r="J85">
        <v>79</v>
      </c>
      <c r="K85">
        <v>-42</v>
      </c>
      <c r="L85">
        <v>36</v>
      </c>
      <c r="M85">
        <v>0.95</v>
      </c>
      <c r="N85" s="1">
        <v>18006</v>
      </c>
      <c r="O85" t="s">
        <v>827</v>
      </c>
      <c r="P85" t="s">
        <v>828</v>
      </c>
    </row>
    <row r="86" spans="1:16" x14ac:dyDescent="0.2">
      <c r="A86" t="str" cm="1">
        <f t="array" ref="A86">_xlfn.IFS(C86="it ITA", "Serie A", C86="eng ENG", "Premier League", C86="de GER", "Bundesliga", C86="es ESP", "La Liga", C86="fr FRA", "Ligue 1")</f>
        <v>Serie A</v>
      </c>
      <c r="B86" t="s">
        <v>43</v>
      </c>
      <c r="C86" t="s">
        <v>147</v>
      </c>
      <c r="D86">
        <v>18</v>
      </c>
      <c r="E86">
        <v>38</v>
      </c>
      <c r="F86">
        <v>9</v>
      </c>
      <c r="G86">
        <v>8</v>
      </c>
      <c r="H86">
        <v>21</v>
      </c>
      <c r="I86">
        <v>37</v>
      </c>
      <c r="J86">
        <v>53</v>
      </c>
      <c r="K86">
        <v>-16</v>
      </c>
      <c r="L86">
        <v>35</v>
      </c>
      <c r="M86">
        <v>0.92</v>
      </c>
      <c r="O86" t="s">
        <v>829</v>
      </c>
      <c r="P86" t="s">
        <v>830</v>
      </c>
    </row>
    <row r="87" spans="1:16" x14ac:dyDescent="0.2">
      <c r="A87" t="str" cm="1">
        <f t="array" ref="A87">_xlfn.IFS(C87="it ITA", "Serie A", C87="eng ENG", "Premier League", C87="de GER", "Bundesliga", C87="es ESP", "La Liga", C87="fr FRA", "Ligue 1")</f>
        <v>Premier League</v>
      </c>
      <c r="B87" t="s">
        <v>345</v>
      </c>
      <c r="C87" t="s">
        <v>150</v>
      </c>
      <c r="D87">
        <v>17</v>
      </c>
      <c r="E87">
        <v>38</v>
      </c>
      <c r="F87">
        <v>8</v>
      </c>
      <c r="G87">
        <v>11</v>
      </c>
      <c r="H87">
        <v>19</v>
      </c>
      <c r="I87">
        <v>47</v>
      </c>
      <c r="J87">
        <v>66</v>
      </c>
      <c r="K87">
        <v>-19</v>
      </c>
      <c r="L87">
        <v>35</v>
      </c>
      <c r="M87">
        <v>0.92</v>
      </c>
      <c r="N87" s="1">
        <v>33683</v>
      </c>
      <c r="O87" t="s">
        <v>831</v>
      </c>
      <c r="P87" t="s">
        <v>832</v>
      </c>
    </row>
    <row r="88" spans="1:16" x14ac:dyDescent="0.2">
      <c r="A88" t="str" cm="1">
        <f t="array" ref="A88">_xlfn.IFS(C88="it ITA", "Serie A", C88="eng ENG", "Premier League", C88="de GER", "Bundesliga", C88="es ESP", "La Liga", C88="fr FRA", "Ligue 1")</f>
        <v>Bundesliga</v>
      </c>
      <c r="B88" t="s">
        <v>524</v>
      </c>
      <c r="C88" t="s">
        <v>160</v>
      </c>
      <c r="D88">
        <v>16</v>
      </c>
      <c r="E88">
        <v>34</v>
      </c>
      <c r="F88">
        <v>8</v>
      </c>
      <c r="G88">
        <v>7</v>
      </c>
      <c r="H88">
        <v>19</v>
      </c>
      <c r="I88">
        <v>32</v>
      </c>
      <c r="J88">
        <v>58</v>
      </c>
      <c r="K88">
        <v>-26</v>
      </c>
      <c r="L88">
        <v>31</v>
      </c>
      <c r="M88">
        <v>0.91</v>
      </c>
      <c r="O88" t="s">
        <v>833</v>
      </c>
      <c r="P88" t="s">
        <v>596</v>
      </c>
    </row>
    <row r="89" spans="1:16" x14ac:dyDescent="0.2">
      <c r="A89" t="str" cm="1">
        <f t="array" ref="A89">_xlfn.IFS(C89="it ITA", "Serie A", C89="eng ENG", "Premier League", C89="de GER", "Bundesliga", C89="es ESP", "La Liga", C89="fr FRA", "Ligue 1")</f>
        <v>La Liga</v>
      </c>
      <c r="B89" t="s">
        <v>861</v>
      </c>
      <c r="C89" t="s">
        <v>165</v>
      </c>
      <c r="D89">
        <v>20</v>
      </c>
      <c r="E89">
        <v>38</v>
      </c>
      <c r="F89">
        <v>8</v>
      </c>
      <c r="G89">
        <v>10</v>
      </c>
      <c r="H89">
        <v>20</v>
      </c>
      <c r="I89">
        <v>38</v>
      </c>
      <c r="J89">
        <v>66</v>
      </c>
      <c r="K89">
        <v>-28</v>
      </c>
      <c r="L89">
        <v>34</v>
      </c>
      <c r="M89">
        <v>0.89</v>
      </c>
      <c r="O89" t="s">
        <v>834</v>
      </c>
      <c r="P89" t="s">
        <v>835</v>
      </c>
    </row>
    <row r="90" spans="1:16" x14ac:dyDescent="0.2">
      <c r="A90" t="str" cm="1">
        <f t="array" ref="A90">_xlfn.IFS(C90="it ITA", "Serie A", C90="eng ENG", "Premier League", C90="de GER", "Bundesliga", C90="es ESP", "La Liga", C90="fr FRA", "Ligue 1")</f>
        <v>Ligue 1</v>
      </c>
      <c r="B90" t="s">
        <v>683</v>
      </c>
      <c r="C90" t="s">
        <v>157</v>
      </c>
      <c r="D90">
        <v>18</v>
      </c>
      <c r="E90">
        <v>38</v>
      </c>
      <c r="F90">
        <v>8</v>
      </c>
      <c r="G90">
        <v>8</v>
      </c>
      <c r="H90">
        <v>22</v>
      </c>
      <c r="I90">
        <v>36</v>
      </c>
      <c r="J90">
        <v>59</v>
      </c>
      <c r="K90">
        <v>-23</v>
      </c>
      <c r="L90">
        <v>32</v>
      </c>
      <c r="M90">
        <v>0.84</v>
      </c>
      <c r="O90" t="s">
        <v>836</v>
      </c>
      <c r="P90" t="s">
        <v>837</v>
      </c>
    </row>
    <row r="91" spans="1:16" x14ac:dyDescent="0.2">
      <c r="A91" t="str" cm="1">
        <f t="array" ref="A91">_xlfn.IFS(C91="it ITA", "Serie A", C91="eng ENG", "Premier League", C91="de GER", "Bundesliga", C91="es ESP", "La Liga", C91="fr FRA", "Ligue 1")</f>
        <v>Serie A</v>
      </c>
      <c r="B91" t="s">
        <v>692</v>
      </c>
      <c r="C91" t="s">
        <v>147</v>
      </c>
      <c r="D91">
        <v>19</v>
      </c>
      <c r="E91">
        <v>38</v>
      </c>
      <c r="F91">
        <v>7</v>
      </c>
      <c r="G91">
        <v>10</v>
      </c>
      <c r="H91">
        <v>21</v>
      </c>
      <c r="I91">
        <v>40</v>
      </c>
      <c r="J91">
        <v>67</v>
      </c>
      <c r="K91">
        <v>-27</v>
      </c>
      <c r="L91">
        <v>31</v>
      </c>
      <c r="M91">
        <v>0.82</v>
      </c>
      <c r="O91" t="s">
        <v>838</v>
      </c>
      <c r="P91" t="s">
        <v>839</v>
      </c>
    </row>
    <row r="92" spans="1:16" x14ac:dyDescent="0.2">
      <c r="A92" t="str" cm="1">
        <f t="array" ref="A92">_xlfn.IFS(C92="it ITA", "Serie A", C92="eng ENG", "Premier League", C92="de GER", "Bundesliga", C92="es ESP", "La Liga", C92="fr FRA", "Ligue 1")</f>
        <v>Ligue 1</v>
      </c>
      <c r="B92" t="s">
        <v>862</v>
      </c>
      <c r="C92" t="s">
        <v>157</v>
      </c>
      <c r="D92">
        <v>19</v>
      </c>
      <c r="E92">
        <v>38</v>
      </c>
      <c r="F92">
        <v>7</v>
      </c>
      <c r="G92">
        <v>10</v>
      </c>
      <c r="H92">
        <v>21</v>
      </c>
      <c r="I92">
        <v>31</v>
      </c>
      <c r="J92">
        <v>62</v>
      </c>
      <c r="K92">
        <v>-31</v>
      </c>
      <c r="L92">
        <v>31</v>
      </c>
      <c r="M92">
        <v>0.82</v>
      </c>
      <c r="O92" t="s">
        <v>840</v>
      </c>
      <c r="P92" t="s">
        <v>841</v>
      </c>
    </row>
    <row r="93" spans="1:16" x14ac:dyDescent="0.2">
      <c r="A93" t="str" cm="1">
        <f t="array" ref="A93">_xlfn.IFS(C93="it ITA", "Serie A", C93="eng ENG", "Premier League", C93="de GER", "Bundesliga", C93="es ESP", "La Liga", C93="fr FRA", "Ligue 1")</f>
        <v>Bundesliga</v>
      </c>
      <c r="B93" t="s">
        <v>83</v>
      </c>
      <c r="C93" t="s">
        <v>160</v>
      </c>
      <c r="D93">
        <v>17</v>
      </c>
      <c r="E93">
        <v>34</v>
      </c>
      <c r="F93">
        <v>6</v>
      </c>
      <c r="G93">
        <v>10</v>
      </c>
      <c r="H93">
        <v>18</v>
      </c>
      <c r="I93">
        <v>33</v>
      </c>
      <c r="J93">
        <v>64</v>
      </c>
      <c r="K93">
        <v>-31</v>
      </c>
      <c r="L93">
        <v>28</v>
      </c>
      <c r="M93">
        <v>0.82</v>
      </c>
      <c r="O93" t="s">
        <v>842</v>
      </c>
      <c r="P93" t="s">
        <v>843</v>
      </c>
    </row>
    <row r="94" spans="1:16" x14ac:dyDescent="0.2">
      <c r="A94" t="str" cm="1">
        <f t="array" ref="A94">_xlfn.IFS(C94="it ITA", "Serie A", C94="eng ENG", "Premier League", C94="de GER", "Bundesliga", C94="es ESP", "La Liga", C94="fr FRA", "Ligue 1")</f>
        <v>Premier League</v>
      </c>
      <c r="B94" t="s">
        <v>863</v>
      </c>
      <c r="C94" t="s">
        <v>150</v>
      </c>
      <c r="D94">
        <v>18</v>
      </c>
      <c r="E94">
        <v>38</v>
      </c>
      <c r="F94">
        <v>8</v>
      </c>
      <c r="G94">
        <v>6</v>
      </c>
      <c r="H94">
        <v>24</v>
      </c>
      <c r="I94">
        <v>42</v>
      </c>
      <c r="J94">
        <v>82</v>
      </c>
      <c r="K94">
        <v>-40</v>
      </c>
      <c r="L94">
        <v>30</v>
      </c>
      <c r="M94">
        <v>0.79</v>
      </c>
      <c r="N94" s="1">
        <v>21801</v>
      </c>
      <c r="O94" t="s">
        <v>844</v>
      </c>
      <c r="P94" t="s">
        <v>845</v>
      </c>
    </row>
    <row r="95" spans="1:16" x14ac:dyDescent="0.2">
      <c r="A95" t="str" cm="1">
        <f t="array" ref="A95">_xlfn.IFS(C95="it ITA", "Serie A", C95="eng ENG", "Premier League", C95="de GER", "Bundesliga", C95="es ESP", "La Liga", C95="fr FRA", "Ligue 1")</f>
        <v>Premier League</v>
      </c>
      <c r="B95" t="s">
        <v>864</v>
      </c>
      <c r="C95" t="s">
        <v>150</v>
      </c>
      <c r="D95">
        <v>19</v>
      </c>
      <c r="E95">
        <v>38</v>
      </c>
      <c r="F95">
        <v>6</v>
      </c>
      <c r="G95">
        <v>12</v>
      </c>
      <c r="H95">
        <v>20</v>
      </c>
      <c r="I95">
        <v>34</v>
      </c>
      <c r="J95">
        <v>75</v>
      </c>
      <c r="K95">
        <v>-41</v>
      </c>
      <c r="L95">
        <v>30</v>
      </c>
      <c r="M95">
        <v>0.79</v>
      </c>
      <c r="N95" s="1">
        <v>25745</v>
      </c>
      <c r="O95" t="s">
        <v>846</v>
      </c>
      <c r="P95" t="s">
        <v>847</v>
      </c>
    </row>
    <row r="96" spans="1:16" x14ac:dyDescent="0.2">
      <c r="A96" t="str" cm="1">
        <f t="array" ref="A96">_xlfn.IFS(C96="it ITA", "Serie A", C96="eng ENG", "Premier League", C96="de GER", "Bundesliga", C96="es ESP", "La Liga", C96="fr FRA", "Ligue 1")</f>
        <v>Serie A</v>
      </c>
      <c r="B96" t="s">
        <v>685</v>
      </c>
      <c r="C96" t="s">
        <v>147</v>
      </c>
      <c r="D96">
        <v>20</v>
      </c>
      <c r="E96">
        <v>38</v>
      </c>
      <c r="F96">
        <v>7</v>
      </c>
      <c r="G96">
        <v>8</v>
      </c>
      <c r="H96">
        <v>23</v>
      </c>
      <c r="I96">
        <v>27</v>
      </c>
      <c r="J96">
        <v>61</v>
      </c>
      <c r="K96">
        <v>-34</v>
      </c>
      <c r="L96">
        <v>29</v>
      </c>
      <c r="M96">
        <v>0.76</v>
      </c>
      <c r="O96" t="s">
        <v>848</v>
      </c>
      <c r="P96" t="s">
        <v>849</v>
      </c>
    </row>
    <row r="97" spans="1:16" x14ac:dyDescent="0.2">
      <c r="A97" t="str" cm="1">
        <f t="array" ref="A97">_xlfn.IFS(C97="it ITA", "Serie A", C97="eng ENG", "Premier League", C97="de GER", "Bundesliga", C97="es ESP", "La Liga", C97="fr FRA", "Ligue 1")</f>
        <v>Bundesliga</v>
      </c>
      <c r="B97" t="s">
        <v>126</v>
      </c>
      <c r="C97" t="s">
        <v>160</v>
      </c>
      <c r="D97">
        <v>18</v>
      </c>
      <c r="E97">
        <v>34</v>
      </c>
      <c r="F97">
        <v>5</v>
      </c>
      <c r="G97">
        <v>9</v>
      </c>
      <c r="H97">
        <v>20</v>
      </c>
      <c r="I97">
        <v>34</v>
      </c>
      <c r="J97">
        <v>56</v>
      </c>
      <c r="K97">
        <v>-22</v>
      </c>
      <c r="L97">
        <v>24</v>
      </c>
      <c r="M97">
        <v>0.71</v>
      </c>
      <c r="O97" t="s">
        <v>850</v>
      </c>
      <c r="P97" t="s">
        <v>851</v>
      </c>
    </row>
    <row r="98" spans="1:16" x14ac:dyDescent="0.2">
      <c r="A98" t="str" cm="1">
        <f t="array" ref="A98">_xlfn.IFS(C98="it ITA", "Serie A", C98="eng ENG", "Premier League", C98="de GER", "Bundesliga", C98="es ESP", "La Liga", C98="fr FRA", "Ligue 1")</f>
        <v>Ligue 1</v>
      </c>
      <c r="B98" t="s">
        <v>865</v>
      </c>
      <c r="C98" t="s">
        <v>157</v>
      </c>
      <c r="D98">
        <v>20</v>
      </c>
      <c r="E98">
        <v>38</v>
      </c>
      <c r="F98">
        <v>5</v>
      </c>
      <c r="G98">
        <v>8</v>
      </c>
      <c r="H98">
        <v>25</v>
      </c>
      <c r="I98">
        <v>31</v>
      </c>
      <c r="J98">
        <v>61</v>
      </c>
      <c r="K98">
        <v>-30</v>
      </c>
      <c r="L98">
        <v>23</v>
      </c>
      <c r="M98">
        <v>0.61</v>
      </c>
      <c r="O98" t="s">
        <v>852</v>
      </c>
      <c r="P98" t="s">
        <v>853</v>
      </c>
    </row>
    <row r="99" spans="1:16" x14ac:dyDescent="0.2">
      <c r="A99" t="str" cm="1">
        <f t="array" ref="A99">_xlfn.IFS(C99="it ITA", "Serie A", C99="eng ENG", "Premier League", C99="de GER", "Bundesliga", C99="es ESP", "La Liga", C99="fr FRA", "Ligue 1")</f>
        <v>Premier League</v>
      </c>
      <c r="B99" t="s">
        <v>693</v>
      </c>
      <c r="C99" t="s">
        <v>150</v>
      </c>
      <c r="D99">
        <v>20</v>
      </c>
      <c r="E99">
        <v>38</v>
      </c>
      <c r="F99">
        <v>7</v>
      </c>
      <c r="G99">
        <v>7</v>
      </c>
      <c r="H99">
        <v>24</v>
      </c>
      <c r="I99">
        <v>34</v>
      </c>
      <c r="J99">
        <v>66</v>
      </c>
      <c r="K99">
        <v>-32</v>
      </c>
      <c r="L99">
        <v>19</v>
      </c>
      <c r="M99">
        <v>0.5</v>
      </c>
      <c r="N99" s="1">
        <v>18249</v>
      </c>
      <c r="O99" t="s">
        <v>854</v>
      </c>
      <c r="P99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EFB3-82B1-7246-96FC-F145A3247A7C}">
  <dimension ref="A1:P99"/>
  <sheetViews>
    <sheetView workbookViewId="0">
      <selection activeCell="A2" sqref="A2:A99"/>
    </sheetView>
  </sheetViews>
  <sheetFormatPr baseColWidth="10" defaultRowHeight="16" x14ac:dyDescent="0.2"/>
  <sheetData>
    <row r="1" spans="1:16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">
      <c r="A2" t="str" cm="1">
        <f t="array" ref="A2">_xlfn.IFS(C2="it ITA", "Serie A", C2="eng ENG", "Premier League", C2="de GER", "Bundesliga", C2="es ESP", "La Liga", C2="fr FRA", "Ligue 1")</f>
        <v>Serie A</v>
      </c>
      <c r="B2" t="s">
        <v>49</v>
      </c>
      <c r="C2" t="s">
        <v>147</v>
      </c>
      <c r="D2">
        <v>1</v>
      </c>
      <c r="E2">
        <v>38</v>
      </c>
      <c r="F2">
        <v>33</v>
      </c>
      <c r="G2">
        <v>3</v>
      </c>
      <c r="H2">
        <v>2</v>
      </c>
      <c r="I2">
        <v>80</v>
      </c>
      <c r="J2">
        <v>23</v>
      </c>
      <c r="K2">
        <v>57</v>
      </c>
      <c r="L2">
        <v>102</v>
      </c>
      <c r="M2">
        <v>2.68</v>
      </c>
      <c r="O2" t="s">
        <v>866</v>
      </c>
      <c r="P2" t="s">
        <v>185</v>
      </c>
    </row>
    <row r="3" spans="1:16" x14ac:dyDescent="0.2">
      <c r="A3" t="str" cm="1">
        <f t="array" ref="A3">_xlfn.IFS(C3="it ITA", "Serie A", C3="eng ENG", "Premier League", C3="de GER", "Bundesliga", C3="es ESP", "La Liga", C3="fr FRA", "Ligue 1")</f>
        <v>Bundesliga</v>
      </c>
      <c r="B3" t="s">
        <v>63</v>
      </c>
      <c r="C3" t="s">
        <v>160</v>
      </c>
      <c r="D3">
        <v>1</v>
      </c>
      <c r="E3">
        <v>34</v>
      </c>
      <c r="F3">
        <v>29</v>
      </c>
      <c r="G3">
        <v>3</v>
      </c>
      <c r="H3">
        <v>2</v>
      </c>
      <c r="I3">
        <v>94</v>
      </c>
      <c r="J3">
        <v>23</v>
      </c>
      <c r="K3">
        <v>71</v>
      </c>
      <c r="L3">
        <v>90</v>
      </c>
      <c r="M3">
        <v>2.65</v>
      </c>
      <c r="O3" t="s">
        <v>867</v>
      </c>
      <c r="P3" t="s">
        <v>713</v>
      </c>
    </row>
    <row r="4" spans="1:16" x14ac:dyDescent="0.2">
      <c r="A4" t="str" cm="1">
        <f t="array" ref="A4">_xlfn.IFS(C4="it ITA", "Serie A", C4="eng ENG", "Premier League", C4="de GER", "Bundesliga", C4="es ESP", "La Liga", C4="fr FRA", "Ligue 1")</f>
        <v>La Liga</v>
      </c>
      <c r="B4" t="s">
        <v>25</v>
      </c>
      <c r="C4" t="s">
        <v>165</v>
      </c>
      <c r="D4">
        <v>1</v>
      </c>
      <c r="E4">
        <v>38</v>
      </c>
      <c r="F4">
        <v>28</v>
      </c>
      <c r="G4">
        <v>6</v>
      </c>
      <c r="H4">
        <v>4</v>
      </c>
      <c r="I4">
        <v>77</v>
      </c>
      <c r="J4">
        <v>26</v>
      </c>
      <c r="K4">
        <v>51</v>
      </c>
      <c r="L4">
        <v>90</v>
      </c>
      <c r="M4">
        <v>2.37</v>
      </c>
      <c r="O4" t="s">
        <v>868</v>
      </c>
      <c r="P4" t="s">
        <v>869</v>
      </c>
    </row>
    <row r="5" spans="1:16" x14ac:dyDescent="0.2">
      <c r="A5" t="str" cm="1">
        <f t="array" ref="A5">_xlfn.IFS(C5="it ITA", "Serie A", C5="eng ENG", "Premier League", C5="de GER", "Bundesliga", C5="es ESP", "La Liga", C5="fr FRA", "Ligue 1")</f>
        <v>Ligue 1</v>
      </c>
      <c r="B5" t="s">
        <v>344</v>
      </c>
      <c r="C5" t="s">
        <v>157</v>
      </c>
      <c r="D5">
        <v>1</v>
      </c>
      <c r="E5">
        <v>38</v>
      </c>
      <c r="F5">
        <v>27</v>
      </c>
      <c r="G5">
        <v>8</v>
      </c>
      <c r="H5">
        <v>3</v>
      </c>
      <c r="I5">
        <v>84</v>
      </c>
      <c r="J5">
        <v>23</v>
      </c>
      <c r="K5">
        <v>61</v>
      </c>
      <c r="L5">
        <v>89</v>
      </c>
      <c r="M5">
        <v>2.34</v>
      </c>
      <c r="O5" t="s">
        <v>870</v>
      </c>
      <c r="P5" t="s">
        <v>732</v>
      </c>
    </row>
    <row r="6" spans="1:16" x14ac:dyDescent="0.2">
      <c r="A6" t="str" cm="1">
        <f t="array" ref="A6">_xlfn.IFS(C6="it ITA", "Serie A", C6="eng ENG", "Premier League", C6="de GER", "Bundesliga", C6="es ESP", "La Liga", C6="fr FRA", "Ligue 1")</f>
        <v>La Liga</v>
      </c>
      <c r="B6" t="s">
        <v>23</v>
      </c>
      <c r="C6" t="s">
        <v>165</v>
      </c>
      <c r="D6">
        <v>2</v>
      </c>
      <c r="E6">
        <v>38</v>
      </c>
      <c r="F6">
        <v>27</v>
      </c>
      <c r="G6">
        <v>6</v>
      </c>
      <c r="H6">
        <v>5</v>
      </c>
      <c r="I6">
        <v>100</v>
      </c>
      <c r="J6">
        <v>33</v>
      </c>
      <c r="K6">
        <v>67</v>
      </c>
      <c r="L6">
        <v>87</v>
      </c>
      <c r="M6">
        <v>2.29</v>
      </c>
      <c r="O6" t="s">
        <v>871</v>
      </c>
      <c r="P6" t="s">
        <v>535</v>
      </c>
    </row>
    <row r="7" spans="1:16" x14ac:dyDescent="0.2">
      <c r="A7" t="str" cm="1">
        <f t="array" ref="A7">_xlfn.IFS(C7="it ITA", "Serie A", C7="eng ENG", "Premier League", C7="de GER", "Bundesliga", C7="es ESP", "La Liga", C7="fr FRA", "Ligue 1")</f>
        <v>La Liga</v>
      </c>
      <c r="B7" t="s">
        <v>24</v>
      </c>
      <c r="C7" t="s">
        <v>165</v>
      </c>
      <c r="D7">
        <v>3</v>
      </c>
      <c r="E7">
        <v>38</v>
      </c>
      <c r="F7">
        <v>27</v>
      </c>
      <c r="G7">
        <v>6</v>
      </c>
      <c r="H7">
        <v>5</v>
      </c>
      <c r="I7">
        <v>104</v>
      </c>
      <c r="J7">
        <v>38</v>
      </c>
      <c r="K7">
        <v>66</v>
      </c>
      <c r="L7">
        <v>87</v>
      </c>
      <c r="M7">
        <v>2.29</v>
      </c>
      <c r="O7" t="s">
        <v>872</v>
      </c>
      <c r="P7" t="s">
        <v>752</v>
      </c>
    </row>
    <row r="8" spans="1:16" x14ac:dyDescent="0.2">
      <c r="A8" t="str" cm="1">
        <f t="array" ref="A8">_xlfn.IFS(C8="it ITA", "Serie A", C8="eng ENG", "Premier League", C8="de GER", "Bundesliga", C8="es ESP", "La Liga", C8="fr FRA", "Ligue 1")</f>
        <v>Premier League</v>
      </c>
      <c r="B8" t="s">
        <v>10</v>
      </c>
      <c r="C8" t="s">
        <v>150</v>
      </c>
      <c r="D8">
        <v>1</v>
      </c>
      <c r="E8">
        <v>38</v>
      </c>
      <c r="F8">
        <v>27</v>
      </c>
      <c r="G8">
        <v>5</v>
      </c>
      <c r="H8">
        <v>6</v>
      </c>
      <c r="I8">
        <v>102</v>
      </c>
      <c r="J8">
        <v>37</v>
      </c>
      <c r="K8">
        <v>65</v>
      </c>
      <c r="L8">
        <v>86</v>
      </c>
      <c r="M8">
        <v>2.2599999999999998</v>
      </c>
      <c r="N8" s="1">
        <v>47080</v>
      </c>
      <c r="O8" t="s">
        <v>873</v>
      </c>
      <c r="P8" t="s">
        <v>768</v>
      </c>
    </row>
    <row r="9" spans="1:16" x14ac:dyDescent="0.2">
      <c r="A9" t="str" cm="1">
        <f t="array" ref="A9">_xlfn.IFS(C9="it ITA", "Serie A", C9="eng ENG", "Premier League", C9="de GER", "Bundesliga", C9="es ESP", "La Liga", C9="fr FRA", "Ligue 1")</f>
        <v>Serie A</v>
      </c>
      <c r="B9" t="s">
        <v>57</v>
      </c>
      <c r="C9" t="s">
        <v>147</v>
      </c>
      <c r="D9">
        <v>2</v>
      </c>
      <c r="E9">
        <v>38</v>
      </c>
      <c r="F9">
        <v>26</v>
      </c>
      <c r="G9">
        <v>7</v>
      </c>
      <c r="H9">
        <v>5</v>
      </c>
      <c r="I9">
        <v>72</v>
      </c>
      <c r="J9">
        <v>25</v>
      </c>
      <c r="K9">
        <v>47</v>
      </c>
      <c r="L9">
        <v>85</v>
      </c>
      <c r="M9">
        <v>2.2400000000000002</v>
      </c>
      <c r="O9" t="s">
        <v>874</v>
      </c>
      <c r="P9" t="s">
        <v>621</v>
      </c>
    </row>
    <row r="10" spans="1:16" x14ac:dyDescent="0.2">
      <c r="A10" t="str" cm="1">
        <f t="array" ref="A10">_xlfn.IFS(C10="it ITA", "Serie A", C10="eng ENG", "Premier League", C10="de GER", "Bundesliga", C10="es ESP", "La Liga", C10="fr FRA", "Ligue 1")</f>
        <v>Premier League</v>
      </c>
      <c r="B10" t="s">
        <v>9</v>
      </c>
      <c r="C10" t="s">
        <v>150</v>
      </c>
      <c r="D10">
        <v>2</v>
      </c>
      <c r="E10">
        <v>38</v>
      </c>
      <c r="F10">
        <v>26</v>
      </c>
      <c r="G10">
        <v>6</v>
      </c>
      <c r="H10">
        <v>6</v>
      </c>
      <c r="I10">
        <v>101</v>
      </c>
      <c r="J10">
        <v>50</v>
      </c>
      <c r="K10">
        <v>51</v>
      </c>
      <c r="L10">
        <v>84</v>
      </c>
      <c r="M10">
        <v>2.21</v>
      </c>
      <c r="N10" s="1">
        <v>44671</v>
      </c>
      <c r="O10" t="s">
        <v>875</v>
      </c>
      <c r="P10" t="s">
        <v>876</v>
      </c>
    </row>
    <row r="11" spans="1:16" x14ac:dyDescent="0.2">
      <c r="A11" t="str" cm="1">
        <f t="array" ref="A11">_xlfn.IFS(C11="it ITA", "Serie A", C11="eng ENG", "Premier League", C11="de GER", "Bundesliga", C11="es ESP", "La Liga", C11="fr FRA", "Ligue 1")</f>
        <v>Premier League</v>
      </c>
      <c r="B11" t="s">
        <v>4</v>
      </c>
      <c r="C11" t="s">
        <v>150</v>
      </c>
      <c r="D11">
        <v>3</v>
      </c>
      <c r="E11">
        <v>38</v>
      </c>
      <c r="F11">
        <v>25</v>
      </c>
      <c r="G11">
        <v>7</v>
      </c>
      <c r="H11">
        <v>6</v>
      </c>
      <c r="I11">
        <v>71</v>
      </c>
      <c r="J11">
        <v>27</v>
      </c>
      <c r="K11">
        <v>44</v>
      </c>
      <c r="L11">
        <v>82</v>
      </c>
      <c r="M11">
        <v>2.16</v>
      </c>
      <c r="N11" s="1">
        <v>41482</v>
      </c>
      <c r="O11" t="s">
        <v>877</v>
      </c>
      <c r="P11" t="s">
        <v>529</v>
      </c>
    </row>
    <row r="12" spans="1:16" x14ac:dyDescent="0.2">
      <c r="A12" t="str" cm="1">
        <f t="array" ref="A12">_xlfn.IFS(C12="it ITA", "Serie A", C12="eng ENG", "Premier League", C12="de GER", "Bundesliga", C12="es ESP", "La Liga", C12="fr FRA", "Ligue 1")</f>
        <v>Ligue 1</v>
      </c>
      <c r="B12" t="s">
        <v>90</v>
      </c>
      <c r="C12" t="s">
        <v>157</v>
      </c>
      <c r="D12">
        <v>2</v>
      </c>
      <c r="E12">
        <v>38</v>
      </c>
      <c r="F12">
        <v>23</v>
      </c>
      <c r="G12">
        <v>11</v>
      </c>
      <c r="H12">
        <v>4</v>
      </c>
      <c r="I12">
        <v>63</v>
      </c>
      <c r="J12">
        <v>31</v>
      </c>
      <c r="K12">
        <v>32</v>
      </c>
      <c r="L12">
        <v>80</v>
      </c>
      <c r="M12">
        <v>2.11</v>
      </c>
      <c r="O12" t="s">
        <v>878</v>
      </c>
      <c r="P12" t="s">
        <v>879</v>
      </c>
    </row>
    <row r="13" spans="1:16" x14ac:dyDescent="0.2">
      <c r="A13" t="str" cm="1">
        <f t="array" ref="A13">_xlfn.IFS(C13="it ITA", "Serie A", C13="eng ENG", "Premier League", C13="de GER", "Bundesliga", C13="es ESP", "La Liga", C13="fr FRA", "Ligue 1")</f>
        <v>Bundesliga</v>
      </c>
      <c r="B13" t="s">
        <v>65</v>
      </c>
      <c r="C13" t="s">
        <v>160</v>
      </c>
      <c r="D13">
        <v>2</v>
      </c>
      <c r="E13">
        <v>34</v>
      </c>
      <c r="F13">
        <v>22</v>
      </c>
      <c r="G13">
        <v>5</v>
      </c>
      <c r="H13">
        <v>7</v>
      </c>
      <c r="I13">
        <v>80</v>
      </c>
      <c r="J13">
        <v>38</v>
      </c>
      <c r="K13">
        <v>42</v>
      </c>
      <c r="L13">
        <v>71</v>
      </c>
      <c r="M13">
        <v>2.09</v>
      </c>
      <c r="O13" t="s">
        <v>880</v>
      </c>
      <c r="P13" t="s">
        <v>591</v>
      </c>
    </row>
    <row r="14" spans="1:16" x14ac:dyDescent="0.2">
      <c r="A14" t="str" cm="1">
        <f t="array" ref="A14">_xlfn.IFS(C14="it ITA", "Serie A", C14="eng ENG", "Premier League", C14="de GER", "Bundesliga", C14="es ESP", "La Liga", C14="fr FRA", "Ligue 1")</f>
        <v>Premier League</v>
      </c>
      <c r="B14" t="s">
        <v>0</v>
      </c>
      <c r="C14" t="s">
        <v>150</v>
      </c>
      <c r="D14">
        <v>4</v>
      </c>
      <c r="E14">
        <v>38</v>
      </c>
      <c r="F14">
        <v>24</v>
      </c>
      <c r="G14">
        <v>7</v>
      </c>
      <c r="H14">
        <v>7</v>
      </c>
      <c r="I14">
        <v>68</v>
      </c>
      <c r="J14">
        <v>41</v>
      </c>
      <c r="K14">
        <v>27</v>
      </c>
      <c r="L14">
        <v>79</v>
      </c>
      <c r="M14">
        <v>2.08</v>
      </c>
      <c r="N14" s="1">
        <v>60013</v>
      </c>
      <c r="O14" t="s">
        <v>881</v>
      </c>
      <c r="P14" t="s">
        <v>882</v>
      </c>
    </row>
    <row r="15" spans="1:16" x14ac:dyDescent="0.2">
      <c r="A15" t="str" cm="1">
        <f t="array" ref="A15">_xlfn.IFS(C15="it ITA", "Serie A", C15="eng ENG", "Premier League", C15="de GER", "Bundesliga", C15="es ESP", "La Liga", C15="fr FRA", "Ligue 1")</f>
        <v>Serie A</v>
      </c>
      <c r="B15" t="s">
        <v>53</v>
      </c>
      <c r="C15" t="s">
        <v>147</v>
      </c>
      <c r="D15">
        <v>3</v>
      </c>
      <c r="E15">
        <v>38</v>
      </c>
      <c r="F15">
        <v>23</v>
      </c>
      <c r="G15">
        <v>9</v>
      </c>
      <c r="H15">
        <v>6</v>
      </c>
      <c r="I15">
        <v>77</v>
      </c>
      <c r="J15">
        <v>39</v>
      </c>
      <c r="K15">
        <v>38</v>
      </c>
      <c r="L15">
        <v>78</v>
      </c>
      <c r="M15">
        <v>2.0499999999999998</v>
      </c>
      <c r="O15" t="s">
        <v>883</v>
      </c>
      <c r="P15" t="s">
        <v>537</v>
      </c>
    </row>
    <row r="16" spans="1:16" x14ac:dyDescent="0.2">
      <c r="A16" t="str" cm="1">
        <f t="array" ref="A16">_xlfn.IFS(C16="it ITA", "Serie A", C16="eng ENG", "Premier League", C16="de GER", "Bundesliga", C16="es ESP", "La Liga", C16="fr FRA", "Ligue 1")</f>
        <v>Premier League</v>
      </c>
      <c r="B16" t="s">
        <v>6</v>
      </c>
      <c r="C16" t="s">
        <v>150</v>
      </c>
      <c r="D16">
        <v>5</v>
      </c>
      <c r="E16">
        <v>38</v>
      </c>
      <c r="F16">
        <v>21</v>
      </c>
      <c r="G16">
        <v>9</v>
      </c>
      <c r="H16">
        <v>8</v>
      </c>
      <c r="I16">
        <v>61</v>
      </c>
      <c r="J16">
        <v>39</v>
      </c>
      <c r="K16">
        <v>22</v>
      </c>
      <c r="L16">
        <v>72</v>
      </c>
      <c r="M16">
        <v>1.89</v>
      </c>
      <c r="N16" s="1">
        <v>37732</v>
      </c>
      <c r="O16" t="s">
        <v>884</v>
      </c>
      <c r="P16" t="s">
        <v>742</v>
      </c>
    </row>
    <row r="17" spans="1:16" x14ac:dyDescent="0.2">
      <c r="A17" t="str" cm="1">
        <f t="array" ref="A17">_xlfn.IFS(C17="it ITA", "Serie A", C17="eng ENG", "Premier League", C17="de GER", "Bundesliga", C17="es ESP", "La Liga", C17="fr FRA", "Ligue 1")</f>
        <v>Bundesliga</v>
      </c>
      <c r="B17" t="s">
        <v>125</v>
      </c>
      <c r="C17" t="s">
        <v>160</v>
      </c>
      <c r="D17">
        <v>3</v>
      </c>
      <c r="E17">
        <v>34</v>
      </c>
      <c r="F17">
        <v>19</v>
      </c>
      <c r="G17">
        <v>7</v>
      </c>
      <c r="H17">
        <v>8</v>
      </c>
      <c r="I17">
        <v>63</v>
      </c>
      <c r="J17">
        <v>43</v>
      </c>
      <c r="K17">
        <v>20</v>
      </c>
      <c r="L17">
        <v>64</v>
      </c>
      <c r="M17">
        <v>1.88</v>
      </c>
      <c r="O17" t="s">
        <v>885</v>
      </c>
      <c r="P17" t="s">
        <v>886</v>
      </c>
    </row>
    <row r="18" spans="1:16" x14ac:dyDescent="0.2">
      <c r="A18" t="str" cm="1">
        <f t="array" ref="A18">_xlfn.IFS(C18="it ITA", "Serie A", C18="eng ENG", "Premier League", C18="de GER", "Bundesliga", C18="es ESP", "La Liga", C18="fr FRA", "Ligue 1")</f>
        <v>Ligue 1</v>
      </c>
      <c r="B18" t="s">
        <v>96</v>
      </c>
      <c r="C18" t="s">
        <v>157</v>
      </c>
      <c r="D18">
        <v>3</v>
      </c>
      <c r="E18">
        <v>38</v>
      </c>
      <c r="F18">
        <v>20</v>
      </c>
      <c r="G18">
        <v>11</v>
      </c>
      <c r="H18">
        <v>7</v>
      </c>
      <c r="I18">
        <v>46</v>
      </c>
      <c r="J18">
        <v>26</v>
      </c>
      <c r="K18">
        <v>20</v>
      </c>
      <c r="L18">
        <v>71</v>
      </c>
      <c r="M18">
        <v>1.87</v>
      </c>
      <c r="O18" t="s">
        <v>887</v>
      </c>
      <c r="P18" t="s">
        <v>888</v>
      </c>
    </row>
    <row r="19" spans="1:16" x14ac:dyDescent="0.2">
      <c r="A19" t="str" cm="1">
        <f t="array" ref="A19">_xlfn.IFS(C19="it ITA", "Serie A", C19="eng ENG", "Premier League", C19="de GER", "Bundesliga", C19="es ESP", "La Liga", C19="fr FRA", "Ligue 1")</f>
        <v>La Liga</v>
      </c>
      <c r="B19" t="s">
        <v>342</v>
      </c>
      <c r="C19" t="s">
        <v>165</v>
      </c>
      <c r="D19">
        <v>4</v>
      </c>
      <c r="E19">
        <v>38</v>
      </c>
      <c r="F19">
        <v>20</v>
      </c>
      <c r="G19">
        <v>10</v>
      </c>
      <c r="H19">
        <v>8</v>
      </c>
      <c r="I19">
        <v>66</v>
      </c>
      <c r="J19">
        <v>39</v>
      </c>
      <c r="K19">
        <v>27</v>
      </c>
      <c r="L19">
        <v>70</v>
      </c>
      <c r="M19">
        <v>1.84</v>
      </c>
      <c r="O19" t="s">
        <v>889</v>
      </c>
      <c r="P19" t="s">
        <v>635</v>
      </c>
    </row>
    <row r="20" spans="1:16" x14ac:dyDescent="0.2">
      <c r="A20" t="str" cm="1">
        <f t="array" ref="A20">_xlfn.IFS(C20="it ITA", "Serie A", C20="eng ENG", "Premier League", C20="de GER", "Bundesliga", C20="es ESP", "La Liga", C20="fr FRA", "Ligue 1")</f>
        <v>Ligue 1</v>
      </c>
      <c r="B20" t="s">
        <v>92</v>
      </c>
      <c r="C20" t="s">
        <v>157</v>
      </c>
      <c r="D20">
        <v>4</v>
      </c>
      <c r="E20">
        <v>38</v>
      </c>
      <c r="F20">
        <v>20</v>
      </c>
      <c r="G20">
        <v>9</v>
      </c>
      <c r="H20">
        <v>9</v>
      </c>
      <c r="I20">
        <v>56</v>
      </c>
      <c r="J20">
        <v>34</v>
      </c>
      <c r="K20">
        <v>22</v>
      </c>
      <c r="L20">
        <v>69</v>
      </c>
      <c r="M20">
        <v>1.82</v>
      </c>
      <c r="O20" t="s">
        <v>890</v>
      </c>
      <c r="P20" t="s">
        <v>755</v>
      </c>
    </row>
    <row r="21" spans="1:16" x14ac:dyDescent="0.2">
      <c r="A21" t="str" cm="1">
        <f t="array" ref="A21">_xlfn.IFS(C21="it ITA", "Serie A", C21="eng ENG", "Premier League", C21="de GER", "Bundesliga", C21="es ESP", "La Liga", C21="fr FRA", "Ligue 1")</f>
        <v>Premier League</v>
      </c>
      <c r="B21" t="s">
        <v>350</v>
      </c>
      <c r="C21" t="s">
        <v>150</v>
      </c>
      <c r="D21">
        <v>6</v>
      </c>
      <c r="E21">
        <v>38</v>
      </c>
      <c r="F21">
        <v>21</v>
      </c>
      <c r="G21">
        <v>6</v>
      </c>
      <c r="H21">
        <v>11</v>
      </c>
      <c r="I21">
        <v>55</v>
      </c>
      <c r="J21">
        <v>51</v>
      </c>
      <c r="K21">
        <v>4</v>
      </c>
      <c r="L21">
        <v>69</v>
      </c>
      <c r="M21">
        <v>1.82</v>
      </c>
      <c r="N21" s="1">
        <v>35808</v>
      </c>
      <c r="O21" t="s">
        <v>891</v>
      </c>
      <c r="P21" t="s">
        <v>715</v>
      </c>
    </row>
    <row r="22" spans="1:16" x14ac:dyDescent="0.2">
      <c r="A22" t="str" cm="1">
        <f t="array" ref="A22">_xlfn.IFS(C22="it ITA", "Serie A", C22="eng ENG", "Premier League", C22="de GER", "Bundesliga", C22="es ESP", "La Liga", C22="fr FRA", "Ligue 1")</f>
        <v>Bundesliga</v>
      </c>
      <c r="B22" t="s">
        <v>62</v>
      </c>
      <c r="C22" t="s">
        <v>160</v>
      </c>
      <c r="D22">
        <v>4</v>
      </c>
      <c r="E22">
        <v>34</v>
      </c>
      <c r="F22">
        <v>19</v>
      </c>
      <c r="G22">
        <v>4</v>
      </c>
      <c r="H22">
        <v>11</v>
      </c>
      <c r="I22">
        <v>60</v>
      </c>
      <c r="J22">
        <v>41</v>
      </c>
      <c r="K22">
        <v>19</v>
      </c>
      <c r="L22">
        <v>61</v>
      </c>
      <c r="M22">
        <v>1.79</v>
      </c>
      <c r="O22" t="s">
        <v>892</v>
      </c>
      <c r="P22" t="s">
        <v>893</v>
      </c>
    </row>
    <row r="23" spans="1:16" x14ac:dyDescent="0.2">
      <c r="A23" t="str" cm="1">
        <f t="array" ref="A23">_xlfn.IFS(C23="it ITA", "Serie A", C23="eng ENG", "Premier League", C23="de GER", "Bundesliga", C23="es ESP", "La Liga", C23="fr FRA", "Ligue 1")</f>
        <v>Bundesliga</v>
      </c>
      <c r="B23" t="s">
        <v>352</v>
      </c>
      <c r="C23" t="s">
        <v>160</v>
      </c>
      <c r="D23">
        <v>5</v>
      </c>
      <c r="E23">
        <v>34</v>
      </c>
      <c r="F23">
        <v>18</v>
      </c>
      <c r="G23">
        <v>6</v>
      </c>
      <c r="H23">
        <v>10</v>
      </c>
      <c r="I23">
        <v>63</v>
      </c>
      <c r="J23">
        <v>50</v>
      </c>
      <c r="K23">
        <v>13</v>
      </c>
      <c r="L23">
        <v>60</v>
      </c>
      <c r="M23">
        <v>1.76</v>
      </c>
      <c r="O23" t="s">
        <v>894</v>
      </c>
      <c r="P23" t="s">
        <v>750</v>
      </c>
    </row>
    <row r="24" spans="1:16" x14ac:dyDescent="0.2">
      <c r="A24" t="str" cm="1">
        <f t="array" ref="A24">_xlfn.IFS(C24="it ITA", "Serie A", C24="eng ENG", "Premier League", C24="de GER", "Bundesliga", C24="es ESP", "La Liga", C24="fr FRA", "Ligue 1")</f>
        <v>Serie A</v>
      </c>
      <c r="B24" t="s">
        <v>123</v>
      </c>
      <c r="C24" t="s">
        <v>147</v>
      </c>
      <c r="D24">
        <v>4</v>
      </c>
      <c r="E24">
        <v>38</v>
      </c>
      <c r="F24">
        <v>19</v>
      </c>
      <c r="G24">
        <v>8</v>
      </c>
      <c r="H24">
        <v>11</v>
      </c>
      <c r="I24">
        <v>65</v>
      </c>
      <c r="J24">
        <v>44</v>
      </c>
      <c r="K24">
        <v>21</v>
      </c>
      <c r="L24">
        <v>65</v>
      </c>
      <c r="M24">
        <v>1.71</v>
      </c>
      <c r="O24" t="s">
        <v>895</v>
      </c>
      <c r="P24" t="s">
        <v>896</v>
      </c>
    </row>
    <row r="25" spans="1:16" x14ac:dyDescent="0.2">
      <c r="A25" t="str" cm="1">
        <f t="array" ref="A25">_xlfn.IFS(C25="it ITA", "Serie A", C25="eng ENG", "Premier League", C25="de GER", "Bundesliga", C25="es ESP", "La Liga", C25="fr FRA", "Ligue 1")</f>
        <v>Premier League</v>
      </c>
      <c r="B25" t="s">
        <v>340</v>
      </c>
      <c r="C25" t="s">
        <v>150</v>
      </c>
      <c r="D25">
        <v>7</v>
      </c>
      <c r="E25">
        <v>38</v>
      </c>
      <c r="F25">
        <v>19</v>
      </c>
      <c r="G25">
        <v>7</v>
      </c>
      <c r="H25">
        <v>12</v>
      </c>
      <c r="I25">
        <v>64</v>
      </c>
      <c r="J25">
        <v>43</v>
      </c>
      <c r="K25">
        <v>21</v>
      </c>
      <c r="L25">
        <v>64</v>
      </c>
      <c r="M25">
        <v>1.68</v>
      </c>
      <c r="N25" s="1">
        <v>75207</v>
      </c>
      <c r="O25" t="s">
        <v>897</v>
      </c>
      <c r="P25" t="s">
        <v>778</v>
      </c>
    </row>
    <row r="26" spans="1:16" x14ac:dyDescent="0.2">
      <c r="A26" t="str" cm="1">
        <f t="array" ref="A26">_xlfn.IFS(C26="it ITA", "Serie A", C26="eng ENG", "Premier League", C26="de GER", "Bundesliga", C26="es ESP", "La Liga", C26="fr FRA", "Ligue 1")</f>
        <v>La Liga</v>
      </c>
      <c r="B26" t="s">
        <v>27</v>
      </c>
      <c r="C26" t="s">
        <v>165</v>
      </c>
      <c r="D26">
        <v>5</v>
      </c>
      <c r="E26">
        <v>38</v>
      </c>
      <c r="F26">
        <v>18</v>
      </c>
      <c r="G26">
        <v>9</v>
      </c>
      <c r="H26">
        <v>11</v>
      </c>
      <c r="I26">
        <v>69</v>
      </c>
      <c r="J26">
        <v>52</v>
      </c>
      <c r="K26">
        <v>17</v>
      </c>
      <c r="L26">
        <v>63</v>
      </c>
      <c r="M26">
        <v>1.66</v>
      </c>
      <c r="O26" t="s">
        <v>898</v>
      </c>
      <c r="P26" t="s">
        <v>899</v>
      </c>
    </row>
    <row r="27" spans="1:16" x14ac:dyDescent="0.2">
      <c r="A27" t="str" cm="1">
        <f t="array" ref="A27">_xlfn.IFS(C27="it ITA", "Serie A", C27="eng ENG", "Premier League", C27="de GER", "Bundesliga", C27="es ESP", "La Liga", C27="fr FRA", "Ligue 1")</f>
        <v>Bundesliga</v>
      </c>
      <c r="B27" t="s">
        <v>353</v>
      </c>
      <c r="C27" t="s">
        <v>160</v>
      </c>
      <c r="D27">
        <v>6</v>
      </c>
      <c r="E27">
        <v>34</v>
      </c>
      <c r="F27">
        <v>16</v>
      </c>
      <c r="G27">
        <v>7</v>
      </c>
      <c r="H27">
        <v>11</v>
      </c>
      <c r="I27">
        <v>59</v>
      </c>
      <c r="J27">
        <v>43</v>
      </c>
      <c r="K27">
        <v>16</v>
      </c>
      <c r="L27">
        <v>55</v>
      </c>
      <c r="M27">
        <v>1.62</v>
      </c>
      <c r="O27" t="s">
        <v>900</v>
      </c>
      <c r="P27" t="s">
        <v>901</v>
      </c>
    </row>
    <row r="28" spans="1:16" x14ac:dyDescent="0.2">
      <c r="A28" t="str" cm="1">
        <f t="array" ref="A28">_xlfn.IFS(C28="it ITA", "Serie A", C28="eng ENG", "Premier League", C28="de GER", "Bundesliga", C28="es ESP", "La Liga", C28="fr FRA", "Ligue 1")</f>
        <v>Ligue 1</v>
      </c>
      <c r="B28" t="s">
        <v>89</v>
      </c>
      <c r="C28" t="s">
        <v>157</v>
      </c>
      <c r="D28">
        <v>5</v>
      </c>
      <c r="E28">
        <v>38</v>
      </c>
      <c r="F28">
        <v>17</v>
      </c>
      <c r="G28">
        <v>10</v>
      </c>
      <c r="H28">
        <v>11</v>
      </c>
      <c r="I28">
        <v>56</v>
      </c>
      <c r="J28">
        <v>44</v>
      </c>
      <c r="K28">
        <v>12</v>
      </c>
      <c r="L28">
        <v>61</v>
      </c>
      <c r="M28">
        <v>1.61</v>
      </c>
      <c r="O28" t="s">
        <v>902</v>
      </c>
      <c r="P28" t="s">
        <v>903</v>
      </c>
    </row>
    <row r="29" spans="1:16" x14ac:dyDescent="0.2">
      <c r="A29" t="str" cm="1">
        <f t="array" ref="A29">_xlfn.IFS(C29="it ITA", "Serie A", C29="eng ENG", "Premier League", C29="de GER", "Bundesliga", C29="es ESP", "La Liga", C29="fr FRA", "Ligue 1")</f>
        <v>Serie A</v>
      </c>
      <c r="B29" t="s">
        <v>341</v>
      </c>
      <c r="C29" t="s">
        <v>147</v>
      </c>
      <c r="D29">
        <v>5</v>
      </c>
      <c r="E29">
        <v>38</v>
      </c>
      <c r="F29">
        <v>15</v>
      </c>
      <c r="G29">
        <v>15</v>
      </c>
      <c r="H29">
        <v>8</v>
      </c>
      <c r="I29">
        <v>62</v>
      </c>
      <c r="J29">
        <v>39</v>
      </c>
      <c r="K29">
        <v>23</v>
      </c>
      <c r="L29">
        <v>60</v>
      </c>
      <c r="M29">
        <v>1.58</v>
      </c>
      <c r="O29" t="s">
        <v>904</v>
      </c>
      <c r="P29" t="s">
        <v>789</v>
      </c>
    </row>
    <row r="30" spans="1:16" x14ac:dyDescent="0.2">
      <c r="A30" t="str" cm="1">
        <f t="array" ref="A30">_xlfn.IFS(C30="it ITA", "Serie A", C30="eng ENG", "Premier League", C30="de GER", "Bundesliga", C30="es ESP", "La Liga", C30="fr FRA", "Ligue 1")</f>
        <v>Ligue 1</v>
      </c>
      <c r="B30" t="s">
        <v>101</v>
      </c>
      <c r="C30" t="s">
        <v>157</v>
      </c>
      <c r="D30">
        <v>6</v>
      </c>
      <c r="E30">
        <v>38</v>
      </c>
      <c r="F30">
        <v>16</v>
      </c>
      <c r="G30">
        <v>12</v>
      </c>
      <c r="H30">
        <v>10</v>
      </c>
      <c r="I30">
        <v>53</v>
      </c>
      <c r="J30">
        <v>40</v>
      </c>
      <c r="K30">
        <v>13</v>
      </c>
      <c r="L30">
        <v>60</v>
      </c>
      <c r="M30">
        <v>1.58</v>
      </c>
      <c r="O30" t="s">
        <v>905</v>
      </c>
      <c r="P30" t="s">
        <v>709</v>
      </c>
    </row>
    <row r="31" spans="1:16" x14ac:dyDescent="0.2">
      <c r="A31" t="str" cm="1">
        <f t="array" ref="A31">_xlfn.IFS(C31="it ITA", "Serie A", C31="eng ENG", "Premier League", C31="de GER", "Bundesliga", C31="es ESP", "La Liga", C31="fr FRA", "Ligue 1")</f>
        <v>Bundesliga</v>
      </c>
      <c r="B31" t="s">
        <v>688</v>
      </c>
      <c r="C31" t="s">
        <v>160</v>
      </c>
      <c r="D31">
        <v>7</v>
      </c>
      <c r="E31">
        <v>34</v>
      </c>
      <c r="F31">
        <v>16</v>
      </c>
      <c r="G31">
        <v>5</v>
      </c>
      <c r="H31">
        <v>13</v>
      </c>
      <c r="I31">
        <v>52</v>
      </c>
      <c r="J31">
        <v>54</v>
      </c>
      <c r="K31">
        <v>-2</v>
      </c>
      <c r="L31">
        <v>53</v>
      </c>
      <c r="M31">
        <v>1.56</v>
      </c>
      <c r="O31" t="s">
        <v>906</v>
      </c>
      <c r="P31" t="s">
        <v>907</v>
      </c>
    </row>
    <row r="32" spans="1:16" x14ac:dyDescent="0.2">
      <c r="A32" t="str" cm="1">
        <f t="array" ref="A32">_xlfn.IFS(C32="it ITA", "Serie A", C32="eng ENG", "Premier League", C32="de GER", "Bundesliga", C32="es ESP", "La Liga", C32="fr FRA", "Ligue 1")</f>
        <v>La Liga</v>
      </c>
      <c r="B32" t="s">
        <v>520</v>
      </c>
      <c r="C32" t="s">
        <v>165</v>
      </c>
      <c r="D32">
        <v>6</v>
      </c>
      <c r="E32">
        <v>38</v>
      </c>
      <c r="F32">
        <v>17</v>
      </c>
      <c r="G32">
        <v>8</v>
      </c>
      <c r="H32">
        <v>13</v>
      </c>
      <c r="I32">
        <v>60</v>
      </c>
      <c r="J32">
        <v>44</v>
      </c>
      <c r="K32">
        <v>16</v>
      </c>
      <c r="L32">
        <v>59</v>
      </c>
      <c r="M32">
        <v>1.55</v>
      </c>
      <c r="O32" t="s">
        <v>908</v>
      </c>
      <c r="P32" t="s">
        <v>909</v>
      </c>
    </row>
    <row r="33" spans="1:16" x14ac:dyDescent="0.2">
      <c r="A33" t="str" cm="1">
        <f t="array" ref="A33">_xlfn.IFS(C33="it ITA", "Serie A", C33="eng ENG", "Premier League", C33="de GER", "Bundesliga", C33="es ESP", "La Liga", C33="fr FRA", "Ligue 1")</f>
        <v>La Liga</v>
      </c>
      <c r="B33" t="s">
        <v>32</v>
      </c>
      <c r="C33" t="s">
        <v>165</v>
      </c>
      <c r="D33">
        <v>7</v>
      </c>
      <c r="E33">
        <v>38</v>
      </c>
      <c r="F33">
        <v>16</v>
      </c>
      <c r="G33">
        <v>11</v>
      </c>
      <c r="H33">
        <v>11</v>
      </c>
      <c r="I33">
        <v>62</v>
      </c>
      <c r="J33">
        <v>55</v>
      </c>
      <c r="K33">
        <v>7</v>
      </c>
      <c r="L33">
        <v>59</v>
      </c>
      <c r="M33">
        <v>1.55</v>
      </c>
      <c r="O33" t="s">
        <v>910</v>
      </c>
      <c r="P33" t="s">
        <v>911</v>
      </c>
    </row>
    <row r="34" spans="1:16" x14ac:dyDescent="0.2">
      <c r="A34" t="str" cm="1">
        <f t="array" ref="A34">_xlfn.IFS(C34="it ITA", "Serie A", C34="eng ENG", "Premier League", C34="de GER", "Bundesliga", C34="es ESP", "La Liga", C34="fr FRA", "Ligue 1")</f>
        <v>Serie A</v>
      </c>
      <c r="B34" t="s">
        <v>54</v>
      </c>
      <c r="C34" t="s">
        <v>147</v>
      </c>
      <c r="D34">
        <v>6</v>
      </c>
      <c r="E34">
        <v>38</v>
      </c>
      <c r="F34">
        <v>15</v>
      </c>
      <c r="G34">
        <v>13</v>
      </c>
      <c r="H34">
        <v>10</v>
      </c>
      <c r="I34">
        <v>58</v>
      </c>
      <c r="J34">
        <v>46</v>
      </c>
      <c r="K34">
        <v>12</v>
      </c>
      <c r="L34">
        <v>58</v>
      </c>
      <c r="M34">
        <v>1.53</v>
      </c>
      <c r="O34" t="s">
        <v>912</v>
      </c>
      <c r="P34" t="s">
        <v>648</v>
      </c>
    </row>
    <row r="35" spans="1:16" x14ac:dyDescent="0.2">
      <c r="A35" t="str" cm="1">
        <f t="array" ref="A35">_xlfn.IFS(C35="it ITA", "Serie A", C35="eng ENG", "Premier League", C35="de GER", "Bundesliga", C35="es ESP", "La Liga", C35="fr FRA", "Ligue 1")</f>
        <v>Bundesliga</v>
      </c>
      <c r="B35" t="s">
        <v>1025</v>
      </c>
      <c r="C35" t="s">
        <v>160</v>
      </c>
      <c r="D35">
        <v>8</v>
      </c>
      <c r="E35">
        <v>34</v>
      </c>
      <c r="F35">
        <v>15</v>
      </c>
      <c r="G35">
        <v>7</v>
      </c>
      <c r="H35">
        <v>12</v>
      </c>
      <c r="I35">
        <v>47</v>
      </c>
      <c r="J35">
        <v>47</v>
      </c>
      <c r="K35">
        <v>0</v>
      </c>
      <c r="L35">
        <v>52</v>
      </c>
      <c r="M35">
        <v>1.53</v>
      </c>
      <c r="O35" t="s">
        <v>913</v>
      </c>
      <c r="P35" t="s">
        <v>914</v>
      </c>
    </row>
    <row r="36" spans="1:16" x14ac:dyDescent="0.2">
      <c r="A36" t="str" cm="1">
        <f t="array" ref="A36">_xlfn.IFS(C36="it ITA", "Serie A", C36="eng ENG", "Premier League", C36="de GER", "Bundesliga", C36="es ESP", "La Liga", C36="fr FRA", "Ligue 1")</f>
        <v>Serie A</v>
      </c>
      <c r="B36" t="s">
        <v>59</v>
      </c>
      <c r="C36" t="s">
        <v>147</v>
      </c>
      <c r="D36">
        <v>7</v>
      </c>
      <c r="E36">
        <v>38</v>
      </c>
      <c r="F36">
        <v>15</v>
      </c>
      <c r="G36">
        <v>12</v>
      </c>
      <c r="H36">
        <v>11</v>
      </c>
      <c r="I36">
        <v>58</v>
      </c>
      <c r="J36">
        <v>48</v>
      </c>
      <c r="K36">
        <v>10</v>
      </c>
      <c r="L36">
        <v>57</v>
      </c>
      <c r="M36">
        <v>1.5</v>
      </c>
      <c r="O36" t="s">
        <v>915</v>
      </c>
      <c r="P36" t="s">
        <v>916</v>
      </c>
    </row>
    <row r="37" spans="1:16" x14ac:dyDescent="0.2">
      <c r="A37" t="str" cm="1">
        <f t="array" ref="A37">_xlfn.IFS(C37="it ITA", "Serie A", C37="eng ENG", "Premier League", C37="de GER", "Bundesliga", C37="es ESP", "La Liga", C37="fr FRA", "Ligue 1")</f>
        <v>Serie A</v>
      </c>
      <c r="B37" t="s">
        <v>52</v>
      </c>
      <c r="C37" t="s">
        <v>147</v>
      </c>
      <c r="D37">
        <v>8</v>
      </c>
      <c r="E37">
        <v>38</v>
      </c>
      <c r="F37">
        <v>16</v>
      </c>
      <c r="G37">
        <v>9</v>
      </c>
      <c r="H37">
        <v>13</v>
      </c>
      <c r="I37">
        <v>57</v>
      </c>
      <c r="J37">
        <v>49</v>
      </c>
      <c r="K37">
        <v>8</v>
      </c>
      <c r="L37">
        <v>57</v>
      </c>
      <c r="M37">
        <v>1.5</v>
      </c>
      <c r="O37" t="s">
        <v>917</v>
      </c>
      <c r="P37" t="s">
        <v>392</v>
      </c>
    </row>
    <row r="38" spans="1:16" x14ac:dyDescent="0.2">
      <c r="A38" t="str" cm="1">
        <f t="array" ref="A38">_xlfn.IFS(C38="it ITA", "Serie A", C38="eng ENG", "Premier League", C38="de GER", "Bundesliga", C38="es ESP", "La Liga", C38="fr FRA", "Ligue 1")</f>
        <v>Premier League</v>
      </c>
      <c r="B38" t="s">
        <v>18</v>
      </c>
      <c r="C38" t="s">
        <v>150</v>
      </c>
      <c r="D38">
        <v>8</v>
      </c>
      <c r="E38">
        <v>38</v>
      </c>
      <c r="F38">
        <v>15</v>
      </c>
      <c r="G38">
        <v>11</v>
      </c>
      <c r="H38">
        <v>12</v>
      </c>
      <c r="I38">
        <v>54</v>
      </c>
      <c r="J38">
        <v>46</v>
      </c>
      <c r="K38">
        <v>8</v>
      </c>
      <c r="L38">
        <v>56</v>
      </c>
      <c r="M38">
        <v>1.47</v>
      </c>
      <c r="N38" s="1">
        <v>30212</v>
      </c>
      <c r="O38" t="s">
        <v>918</v>
      </c>
      <c r="P38" t="s">
        <v>919</v>
      </c>
    </row>
    <row r="39" spans="1:16" x14ac:dyDescent="0.2">
      <c r="A39" t="str" cm="1">
        <f t="array" ref="A39">_xlfn.IFS(C39="it ITA", "Serie A", C39="eng ENG", "Premier League", C39="de GER", "Bundesliga", C39="es ESP", "La Liga", C39="fr FRA", "Ligue 1")</f>
        <v>Serie A</v>
      </c>
      <c r="B39" t="s">
        <v>50</v>
      </c>
      <c r="C39" t="s">
        <v>147</v>
      </c>
      <c r="D39">
        <v>9</v>
      </c>
      <c r="E39">
        <v>38</v>
      </c>
      <c r="F39">
        <v>15</v>
      </c>
      <c r="G39">
        <v>11</v>
      </c>
      <c r="H39">
        <v>12</v>
      </c>
      <c r="I39">
        <v>54</v>
      </c>
      <c r="J39">
        <v>54</v>
      </c>
      <c r="K39">
        <v>0</v>
      </c>
      <c r="L39">
        <v>56</v>
      </c>
      <c r="M39">
        <v>1.47</v>
      </c>
      <c r="O39" t="s">
        <v>920</v>
      </c>
      <c r="P39" t="s">
        <v>787</v>
      </c>
    </row>
    <row r="40" spans="1:16" x14ac:dyDescent="0.2">
      <c r="A40" t="str" cm="1">
        <f t="array" ref="A40">_xlfn.IFS(C40="it ITA", "Serie A", C40="eng ENG", "Premier League", C40="de GER", "Bundesliga", C40="es ESP", "La Liga", C40="fr FRA", "Ligue 1")</f>
        <v>Serie A</v>
      </c>
      <c r="B40" t="s">
        <v>519</v>
      </c>
      <c r="C40" t="s">
        <v>147</v>
      </c>
      <c r="D40">
        <v>10</v>
      </c>
      <c r="E40">
        <v>38</v>
      </c>
      <c r="F40">
        <v>16</v>
      </c>
      <c r="G40">
        <v>6</v>
      </c>
      <c r="H40">
        <v>16</v>
      </c>
      <c r="I40">
        <v>62</v>
      </c>
      <c r="J40">
        <v>68</v>
      </c>
      <c r="K40">
        <v>-6</v>
      </c>
      <c r="L40">
        <v>54</v>
      </c>
      <c r="M40">
        <v>1.42</v>
      </c>
      <c r="O40" t="s">
        <v>921</v>
      </c>
      <c r="P40" t="s">
        <v>922</v>
      </c>
    </row>
    <row r="41" spans="1:16" x14ac:dyDescent="0.2">
      <c r="A41" t="str" cm="1">
        <f t="array" ref="A41">_xlfn.IFS(C41="it ITA", "Serie A", C41="eng ENG", "Premier League", C41="de GER", "Bundesliga", C41="es ESP", "La Liga", C41="fr FRA", "Ligue 1")</f>
        <v>Ligue 1</v>
      </c>
      <c r="B41" t="s">
        <v>85</v>
      </c>
      <c r="C41" t="s">
        <v>157</v>
      </c>
      <c r="D41">
        <v>7</v>
      </c>
      <c r="E41">
        <v>38</v>
      </c>
      <c r="F41">
        <v>13</v>
      </c>
      <c r="G41">
        <v>14</v>
      </c>
      <c r="H41">
        <v>11</v>
      </c>
      <c r="I41">
        <v>49</v>
      </c>
      <c r="J41">
        <v>43</v>
      </c>
      <c r="K41">
        <v>6</v>
      </c>
      <c r="L41">
        <v>53</v>
      </c>
      <c r="M41">
        <v>1.39</v>
      </c>
      <c r="O41" t="s">
        <v>923</v>
      </c>
      <c r="P41" t="s">
        <v>734</v>
      </c>
    </row>
    <row r="42" spans="1:16" x14ac:dyDescent="0.2">
      <c r="A42" t="str" cm="1">
        <f t="array" ref="A42">_xlfn.IFS(C42="it ITA", "Serie A", C42="eng ENG", "Premier League", C42="de GER", "Bundesliga", C42="es ESP", "La Liga", C42="fr FRA", "Ligue 1")</f>
        <v>Premier League</v>
      </c>
      <c r="B42" t="s">
        <v>857</v>
      </c>
      <c r="C42" t="s">
        <v>150</v>
      </c>
      <c r="D42">
        <v>9</v>
      </c>
      <c r="E42">
        <v>38</v>
      </c>
      <c r="F42">
        <v>13</v>
      </c>
      <c r="G42">
        <v>11</v>
      </c>
      <c r="H42">
        <v>14</v>
      </c>
      <c r="I42">
        <v>45</v>
      </c>
      <c r="J42">
        <v>52</v>
      </c>
      <c r="K42">
        <v>-7</v>
      </c>
      <c r="L42">
        <v>50</v>
      </c>
      <c r="M42">
        <v>1.32</v>
      </c>
      <c r="N42" s="1">
        <v>26137</v>
      </c>
      <c r="O42" t="s">
        <v>924</v>
      </c>
      <c r="P42" t="s">
        <v>925</v>
      </c>
    </row>
    <row r="43" spans="1:16" x14ac:dyDescent="0.2">
      <c r="A43" t="str" cm="1">
        <f t="array" ref="A43">_xlfn.IFS(C43="it ITA", "Serie A", C43="eng ENG", "Premier League", C43="de GER", "Bundesliga", C43="es ESP", "La Liga", C43="fr FRA", "Ligue 1")</f>
        <v>Serie A</v>
      </c>
      <c r="B43" t="s">
        <v>43</v>
      </c>
      <c r="C43" t="s">
        <v>147</v>
      </c>
      <c r="D43">
        <v>11</v>
      </c>
      <c r="E43">
        <v>38</v>
      </c>
      <c r="F43">
        <v>15</v>
      </c>
      <c r="G43">
        <v>5</v>
      </c>
      <c r="H43">
        <v>18</v>
      </c>
      <c r="I43">
        <v>43</v>
      </c>
      <c r="J43">
        <v>51</v>
      </c>
      <c r="K43">
        <v>-8</v>
      </c>
      <c r="L43">
        <v>50</v>
      </c>
      <c r="M43">
        <v>1.32</v>
      </c>
      <c r="O43" t="s">
        <v>926</v>
      </c>
      <c r="P43" t="s">
        <v>830</v>
      </c>
    </row>
    <row r="44" spans="1:16" x14ac:dyDescent="0.2">
      <c r="A44" t="str" cm="1">
        <f t="array" ref="A44">_xlfn.IFS(C44="it ITA", "Serie A", C44="eng ENG", "Premier League", C44="de GER", "Bundesliga", C44="es ESP", "La Liga", C44="fr FRA", "Ligue 1")</f>
        <v>Bundesliga</v>
      </c>
      <c r="B44" t="s">
        <v>856</v>
      </c>
      <c r="C44" t="s">
        <v>160</v>
      </c>
      <c r="D44">
        <v>9</v>
      </c>
      <c r="E44">
        <v>34</v>
      </c>
      <c r="F44">
        <v>11</v>
      </c>
      <c r="G44">
        <v>11</v>
      </c>
      <c r="H44">
        <v>12</v>
      </c>
      <c r="I44">
        <v>72</v>
      </c>
      <c r="J44">
        <v>70</v>
      </c>
      <c r="K44">
        <v>2</v>
      </c>
      <c r="L44">
        <v>44</v>
      </c>
      <c r="M44">
        <v>1.29</v>
      </c>
      <c r="O44" t="s">
        <v>927</v>
      </c>
      <c r="P44" t="s">
        <v>928</v>
      </c>
    </row>
    <row r="45" spans="1:16" x14ac:dyDescent="0.2">
      <c r="A45" t="str" cm="1">
        <f t="array" ref="A45">_xlfn.IFS(C45="it ITA", "Serie A", C45="eng ENG", "Premier League", C45="de GER", "Bundesliga", C45="es ESP", "La Liga", C45="fr FRA", "Ligue 1")</f>
        <v>La Liga</v>
      </c>
      <c r="B45" t="s">
        <v>26</v>
      </c>
      <c r="C45" t="s">
        <v>165</v>
      </c>
      <c r="D45">
        <v>8</v>
      </c>
      <c r="E45">
        <v>38</v>
      </c>
      <c r="F45">
        <v>13</v>
      </c>
      <c r="G45">
        <v>10</v>
      </c>
      <c r="H45">
        <v>15</v>
      </c>
      <c r="I45">
        <v>51</v>
      </c>
      <c r="J45">
        <v>53</v>
      </c>
      <c r="K45">
        <v>-2</v>
      </c>
      <c r="L45">
        <v>49</v>
      </c>
      <c r="M45">
        <v>1.29</v>
      </c>
      <c r="O45" t="s">
        <v>929</v>
      </c>
      <c r="P45" t="s">
        <v>804</v>
      </c>
    </row>
    <row r="46" spans="1:16" x14ac:dyDescent="0.2">
      <c r="A46" t="str" cm="1">
        <f t="array" ref="A46">_xlfn.IFS(C46="it ITA", "Serie A", C46="eng ENG", "Premier League", C46="de GER", "Bundesliga", C46="es ESP", "La Liga", C46="fr FRA", "Ligue 1")</f>
        <v>La Liga</v>
      </c>
      <c r="B46" t="s">
        <v>110</v>
      </c>
      <c r="C46" t="s">
        <v>165</v>
      </c>
      <c r="D46">
        <v>9</v>
      </c>
      <c r="E46">
        <v>38</v>
      </c>
      <c r="F46">
        <v>14</v>
      </c>
      <c r="G46">
        <v>7</v>
      </c>
      <c r="H46">
        <v>17</v>
      </c>
      <c r="I46">
        <v>49</v>
      </c>
      <c r="J46">
        <v>54</v>
      </c>
      <c r="K46">
        <v>-5</v>
      </c>
      <c r="L46">
        <v>49</v>
      </c>
      <c r="M46">
        <v>1.29</v>
      </c>
      <c r="O46" t="s">
        <v>930</v>
      </c>
      <c r="P46" t="s">
        <v>931</v>
      </c>
    </row>
    <row r="47" spans="1:16" x14ac:dyDescent="0.2">
      <c r="A47" t="str" cm="1">
        <f t="array" ref="A47">_xlfn.IFS(C47="it ITA", "Serie A", C47="eng ENG", "Premier League", C47="de GER", "Bundesliga", C47="es ESP", "La Liga", C47="fr FRA", "Ligue 1")</f>
        <v>Ligue 1</v>
      </c>
      <c r="B47" t="s">
        <v>525</v>
      </c>
      <c r="C47" t="s">
        <v>157</v>
      </c>
      <c r="D47">
        <v>8</v>
      </c>
      <c r="E47">
        <v>38</v>
      </c>
      <c r="F47">
        <v>13</v>
      </c>
      <c r="G47">
        <v>10</v>
      </c>
      <c r="H47">
        <v>15</v>
      </c>
      <c r="I47">
        <v>48</v>
      </c>
      <c r="J47">
        <v>53</v>
      </c>
      <c r="K47">
        <v>-5</v>
      </c>
      <c r="L47">
        <v>49</v>
      </c>
      <c r="M47">
        <v>1.29</v>
      </c>
      <c r="O47" t="s">
        <v>932</v>
      </c>
      <c r="P47" t="s">
        <v>746</v>
      </c>
    </row>
    <row r="48" spans="1:16" x14ac:dyDescent="0.2">
      <c r="A48" t="str" cm="1">
        <f t="array" ref="A48">_xlfn.IFS(C48="it ITA", "Serie A", C48="eng ENG", "Premier League", C48="de GER", "Bundesliga", C48="es ESP", "La Liga", C48="fr FRA", "Ligue 1")</f>
        <v>Ligue 1</v>
      </c>
      <c r="B48" t="s">
        <v>103</v>
      </c>
      <c r="C48" t="s">
        <v>157</v>
      </c>
      <c r="D48">
        <v>9</v>
      </c>
      <c r="E48">
        <v>38</v>
      </c>
      <c r="F48">
        <v>12</v>
      </c>
      <c r="G48">
        <v>13</v>
      </c>
      <c r="H48">
        <v>13</v>
      </c>
      <c r="I48">
        <v>46</v>
      </c>
      <c r="J48">
        <v>53</v>
      </c>
      <c r="K48">
        <v>-7</v>
      </c>
      <c r="L48">
        <v>49</v>
      </c>
      <c r="M48">
        <v>1.29</v>
      </c>
      <c r="O48" t="s">
        <v>933</v>
      </c>
      <c r="P48" t="s">
        <v>934</v>
      </c>
    </row>
    <row r="49" spans="1:16" x14ac:dyDescent="0.2">
      <c r="A49" t="str" cm="1">
        <f t="array" ref="A49">_xlfn.IFS(C49="it ITA", "Serie A", C49="eng ENG", "Premier League", C49="de GER", "Bundesliga", C49="es ESP", "La Liga", C49="fr FRA", "Ligue 1")</f>
        <v>Ligue 1</v>
      </c>
      <c r="B49" t="s">
        <v>128</v>
      </c>
      <c r="C49" t="s">
        <v>157</v>
      </c>
      <c r="D49">
        <v>10</v>
      </c>
      <c r="E49">
        <v>38</v>
      </c>
      <c r="F49">
        <v>13</v>
      </c>
      <c r="G49">
        <v>10</v>
      </c>
      <c r="H49">
        <v>15</v>
      </c>
      <c r="I49">
        <v>42</v>
      </c>
      <c r="J49">
        <v>56</v>
      </c>
      <c r="K49">
        <v>-14</v>
      </c>
      <c r="L49">
        <v>49</v>
      </c>
      <c r="M49">
        <v>1.29</v>
      </c>
      <c r="O49" t="s">
        <v>935</v>
      </c>
      <c r="P49" t="s">
        <v>265</v>
      </c>
    </row>
    <row r="50" spans="1:16" x14ac:dyDescent="0.2">
      <c r="A50" t="str" cm="1">
        <f t="array" ref="A50">_xlfn.IFS(C50="it ITA", "Serie A", C50="eng ENG", "Premier League", C50="de GER", "Bundesliga", C50="es ESP", "La Liga", C50="fr FRA", "Ligue 1")</f>
        <v>Premier League</v>
      </c>
      <c r="B50" t="s">
        <v>349</v>
      </c>
      <c r="C50" t="s">
        <v>150</v>
      </c>
      <c r="D50">
        <v>10</v>
      </c>
      <c r="E50">
        <v>38</v>
      </c>
      <c r="F50">
        <v>15</v>
      </c>
      <c r="G50">
        <v>4</v>
      </c>
      <c r="H50">
        <v>19</v>
      </c>
      <c r="I50">
        <v>43</v>
      </c>
      <c r="J50">
        <v>59</v>
      </c>
      <c r="K50">
        <v>-16</v>
      </c>
      <c r="L50">
        <v>49</v>
      </c>
      <c r="M50">
        <v>1.29</v>
      </c>
      <c r="N50" s="1">
        <v>50395</v>
      </c>
      <c r="O50" t="s">
        <v>794</v>
      </c>
      <c r="P50" t="s">
        <v>936</v>
      </c>
    </row>
    <row r="51" spans="1:16" x14ac:dyDescent="0.2">
      <c r="A51" t="str" cm="1">
        <f t="array" ref="A51">_xlfn.IFS(C51="it ITA", "Serie A", C51="eng ENG", "Premier League", C51="de GER", "Bundesliga", C51="es ESP", "La Liga", C51="fr FRA", "Ligue 1")</f>
        <v>La Liga</v>
      </c>
      <c r="B51" t="s">
        <v>1026</v>
      </c>
      <c r="C51" t="s">
        <v>165</v>
      </c>
      <c r="D51">
        <v>10</v>
      </c>
      <c r="E51">
        <v>38</v>
      </c>
      <c r="F51">
        <v>12</v>
      </c>
      <c r="G51">
        <v>12</v>
      </c>
      <c r="H51">
        <v>14</v>
      </c>
      <c r="I51">
        <v>35</v>
      </c>
      <c r="J51">
        <v>43</v>
      </c>
      <c r="K51">
        <v>-8</v>
      </c>
      <c r="L51">
        <v>48</v>
      </c>
      <c r="M51">
        <v>1.26</v>
      </c>
      <c r="O51" t="s">
        <v>937</v>
      </c>
      <c r="P51" t="s">
        <v>938</v>
      </c>
    </row>
    <row r="52" spans="1:16" x14ac:dyDescent="0.2">
      <c r="A52" t="str" cm="1">
        <f t="array" ref="A52">_xlfn.IFS(C52="it ITA", "Serie A", C52="eng ENG", "Premier League", C52="de GER", "Bundesliga", C52="es ESP", "La Liga", C52="fr FRA", "Ligue 1")</f>
        <v>Ligue 1</v>
      </c>
      <c r="B52" t="s">
        <v>1027</v>
      </c>
      <c r="C52" t="s">
        <v>157</v>
      </c>
      <c r="D52">
        <v>11</v>
      </c>
      <c r="E52">
        <v>38</v>
      </c>
      <c r="F52">
        <v>12</v>
      </c>
      <c r="G52">
        <v>12</v>
      </c>
      <c r="H52">
        <v>14</v>
      </c>
      <c r="I52">
        <v>44</v>
      </c>
      <c r="J52">
        <v>52</v>
      </c>
      <c r="K52">
        <v>-8</v>
      </c>
      <c r="L52">
        <v>48</v>
      </c>
      <c r="M52">
        <v>1.26</v>
      </c>
      <c r="O52" t="s">
        <v>939</v>
      </c>
      <c r="P52" t="s">
        <v>940</v>
      </c>
    </row>
    <row r="53" spans="1:16" x14ac:dyDescent="0.2">
      <c r="A53" t="str" cm="1">
        <f t="array" ref="A53">_xlfn.IFS(C53="it ITA", "Serie A", C53="eng ENG", "Premier League", C53="de GER", "Bundesliga", C53="es ESP", "La Liga", C53="fr FRA", "Ligue 1")</f>
        <v>Bundesliga</v>
      </c>
      <c r="B53" t="s">
        <v>689</v>
      </c>
      <c r="C53" t="s">
        <v>160</v>
      </c>
      <c r="D53">
        <v>10</v>
      </c>
      <c r="E53">
        <v>34</v>
      </c>
      <c r="F53">
        <v>12</v>
      </c>
      <c r="G53">
        <v>6</v>
      </c>
      <c r="H53">
        <v>16</v>
      </c>
      <c r="I53">
        <v>46</v>
      </c>
      <c r="J53">
        <v>59</v>
      </c>
      <c r="K53">
        <v>-13</v>
      </c>
      <c r="L53">
        <v>42</v>
      </c>
      <c r="M53">
        <v>1.24</v>
      </c>
      <c r="O53" t="s">
        <v>941</v>
      </c>
      <c r="P53" t="s">
        <v>942</v>
      </c>
    </row>
    <row r="54" spans="1:16" x14ac:dyDescent="0.2">
      <c r="A54" t="str" cm="1">
        <f t="array" ref="A54">_xlfn.IFS(C54="it ITA", "Serie A", C54="eng ENG", "Premier League", C54="de GER", "Bundesliga", C54="es ESP", "La Liga", C54="fr FRA", "Ligue 1")</f>
        <v>Ligue 1</v>
      </c>
      <c r="B54" t="s">
        <v>131</v>
      </c>
      <c r="C54" t="s">
        <v>157</v>
      </c>
      <c r="D54">
        <v>12</v>
      </c>
      <c r="E54">
        <v>38</v>
      </c>
      <c r="F54">
        <v>11</v>
      </c>
      <c r="G54">
        <v>13</v>
      </c>
      <c r="H54">
        <v>14</v>
      </c>
      <c r="I54">
        <v>47</v>
      </c>
      <c r="J54">
        <v>45</v>
      </c>
      <c r="K54">
        <v>2</v>
      </c>
      <c r="L54">
        <v>46</v>
      </c>
      <c r="M54">
        <v>1.21</v>
      </c>
      <c r="O54" t="s">
        <v>943</v>
      </c>
      <c r="P54" t="s">
        <v>944</v>
      </c>
    </row>
    <row r="55" spans="1:16" x14ac:dyDescent="0.2">
      <c r="A55" t="str" cm="1">
        <f t="array" ref="A55">_xlfn.IFS(C55="it ITA", "Serie A", C55="eng ENG", "Premier League", C55="de GER", "Bundesliga", C55="es ESP", "La Liga", C55="fr FRA", "Ligue 1")</f>
        <v>Ligue 1</v>
      </c>
      <c r="B55" t="s">
        <v>86</v>
      </c>
      <c r="C55" t="s">
        <v>157</v>
      </c>
      <c r="D55">
        <v>13</v>
      </c>
      <c r="E55">
        <v>38</v>
      </c>
      <c r="F55">
        <v>12</v>
      </c>
      <c r="G55">
        <v>10</v>
      </c>
      <c r="H55">
        <v>16</v>
      </c>
      <c r="I55">
        <v>38</v>
      </c>
      <c r="J55">
        <v>43</v>
      </c>
      <c r="K55">
        <v>-5</v>
      </c>
      <c r="L55">
        <v>46</v>
      </c>
      <c r="M55">
        <v>1.21</v>
      </c>
      <c r="O55" t="s">
        <v>945</v>
      </c>
      <c r="P55" t="s">
        <v>946</v>
      </c>
    </row>
    <row r="56" spans="1:16" x14ac:dyDescent="0.2">
      <c r="A56" t="str" cm="1">
        <f t="array" ref="A56">_xlfn.IFS(C56="it ITA", "Serie A", C56="eng ENG", "Premier League", C56="de GER", "Bundesliga", C56="es ESP", "La Liga", C56="fr FRA", "Ligue 1")</f>
        <v>Bundesliga</v>
      </c>
      <c r="B56" t="s">
        <v>126</v>
      </c>
      <c r="C56" t="s">
        <v>160</v>
      </c>
      <c r="D56">
        <v>11</v>
      </c>
      <c r="E56">
        <v>34</v>
      </c>
      <c r="F56">
        <v>11</v>
      </c>
      <c r="G56">
        <v>8</v>
      </c>
      <c r="H56">
        <v>15</v>
      </c>
      <c r="I56">
        <v>40</v>
      </c>
      <c r="J56">
        <v>48</v>
      </c>
      <c r="K56">
        <v>-8</v>
      </c>
      <c r="L56">
        <v>41</v>
      </c>
      <c r="M56">
        <v>1.21</v>
      </c>
      <c r="O56" t="s">
        <v>947</v>
      </c>
      <c r="P56" t="s">
        <v>948</v>
      </c>
    </row>
    <row r="57" spans="1:16" x14ac:dyDescent="0.2">
      <c r="A57" t="str" cm="1">
        <f t="array" ref="A57">_xlfn.IFS(C57="it ITA", "Serie A", C57="eng ENG", "Premier League", C57="de GER", "Bundesliga", C57="es ESP", "La Liga", C57="fr FRA", "Ligue 1")</f>
        <v>La Liga</v>
      </c>
      <c r="B57" t="s">
        <v>512</v>
      </c>
      <c r="C57" t="s">
        <v>165</v>
      </c>
      <c r="D57">
        <v>11</v>
      </c>
      <c r="E57">
        <v>38</v>
      </c>
      <c r="F57">
        <v>12</v>
      </c>
      <c r="G57">
        <v>9</v>
      </c>
      <c r="H57">
        <v>17</v>
      </c>
      <c r="I57">
        <v>39</v>
      </c>
      <c r="J57">
        <v>46</v>
      </c>
      <c r="K57">
        <v>-7</v>
      </c>
      <c r="L57">
        <v>45</v>
      </c>
      <c r="M57">
        <v>1.18</v>
      </c>
      <c r="O57" t="s">
        <v>949</v>
      </c>
      <c r="P57" t="s">
        <v>950</v>
      </c>
    </row>
    <row r="58" spans="1:16" x14ac:dyDescent="0.2">
      <c r="A58" t="str" cm="1">
        <f t="array" ref="A58">_xlfn.IFS(C58="it ITA", "Serie A", C58="eng ENG", "Premier League", C58="de GER", "Bundesliga", C58="es ESP", "La Liga", C58="fr FRA", "Ligue 1")</f>
        <v>Serie A</v>
      </c>
      <c r="B58" t="s">
        <v>58</v>
      </c>
      <c r="C58" t="s">
        <v>147</v>
      </c>
      <c r="D58">
        <v>12</v>
      </c>
      <c r="E58">
        <v>38</v>
      </c>
      <c r="F58">
        <v>12</v>
      </c>
      <c r="G58">
        <v>9</v>
      </c>
      <c r="H58">
        <v>17</v>
      </c>
      <c r="I58">
        <v>48</v>
      </c>
      <c r="J58">
        <v>62</v>
      </c>
      <c r="K58">
        <v>-14</v>
      </c>
      <c r="L58">
        <v>45</v>
      </c>
      <c r="M58">
        <v>1.18</v>
      </c>
      <c r="O58" t="s">
        <v>951</v>
      </c>
      <c r="P58" t="s">
        <v>952</v>
      </c>
    </row>
    <row r="59" spans="1:16" x14ac:dyDescent="0.2">
      <c r="A59" t="str" cm="1">
        <f t="array" ref="A59">_xlfn.IFS(C59="it ITA", "Serie A", C59="eng ENG", "Premier League", C59="de GER", "Bundesliga", C59="es ESP", "La Liga", C59="fr FRA", "Ligue 1")</f>
        <v>Premier League</v>
      </c>
      <c r="B59" t="s">
        <v>106</v>
      </c>
      <c r="C59" t="s">
        <v>150</v>
      </c>
      <c r="D59">
        <v>11</v>
      </c>
      <c r="E59">
        <v>38</v>
      </c>
      <c r="F59">
        <v>13</v>
      </c>
      <c r="G59">
        <v>6</v>
      </c>
      <c r="H59">
        <v>19</v>
      </c>
      <c r="I59">
        <v>33</v>
      </c>
      <c r="J59">
        <v>48</v>
      </c>
      <c r="K59">
        <v>-15</v>
      </c>
      <c r="L59">
        <v>45</v>
      </c>
      <c r="M59">
        <v>1.18</v>
      </c>
      <c r="N59" s="1">
        <v>24114</v>
      </c>
      <c r="O59" t="s">
        <v>953</v>
      </c>
      <c r="P59" t="s">
        <v>954</v>
      </c>
    </row>
    <row r="60" spans="1:16" x14ac:dyDescent="0.2">
      <c r="A60" t="str" cm="1">
        <f t="array" ref="A60">_xlfn.IFS(C60="it ITA", "Serie A", C60="eng ENG", "Premier League", C60="de GER", "Bundesliga", C60="es ESP", "La Liga", C60="fr FRA", "Ligue 1")</f>
        <v>Serie A</v>
      </c>
      <c r="B60" t="s">
        <v>47</v>
      </c>
      <c r="C60" t="s">
        <v>147</v>
      </c>
      <c r="D60">
        <v>14</v>
      </c>
      <c r="E60">
        <v>38</v>
      </c>
      <c r="F60">
        <v>11</v>
      </c>
      <c r="G60">
        <v>11</v>
      </c>
      <c r="H60">
        <v>16</v>
      </c>
      <c r="I60">
        <v>41</v>
      </c>
      <c r="J60">
        <v>50</v>
      </c>
      <c r="K60">
        <v>-9</v>
      </c>
      <c r="L60">
        <v>44</v>
      </c>
      <c r="M60">
        <v>1.1599999999999999</v>
      </c>
      <c r="O60" t="s">
        <v>775</v>
      </c>
      <c r="P60" t="s">
        <v>955</v>
      </c>
    </row>
    <row r="61" spans="1:16" x14ac:dyDescent="0.2">
      <c r="A61" t="str" cm="1">
        <f t="array" ref="A61">_xlfn.IFS(C61="it ITA", "Serie A", C61="eng ENG", "Premier League", C61="de GER", "Bundesliga", C61="es ESP", "La Liga", C61="fr FRA", "Ligue 1")</f>
        <v>Serie A</v>
      </c>
      <c r="B61" t="s">
        <v>60</v>
      </c>
      <c r="C61" t="s">
        <v>147</v>
      </c>
      <c r="D61">
        <v>13</v>
      </c>
      <c r="E61">
        <v>38</v>
      </c>
      <c r="F61">
        <v>12</v>
      </c>
      <c r="G61">
        <v>8</v>
      </c>
      <c r="H61">
        <v>18</v>
      </c>
      <c r="I61">
        <v>46</v>
      </c>
      <c r="J61">
        <v>57</v>
      </c>
      <c r="K61">
        <v>-11</v>
      </c>
      <c r="L61">
        <v>44</v>
      </c>
      <c r="M61">
        <v>1.1599999999999999</v>
      </c>
      <c r="O61" t="s">
        <v>956</v>
      </c>
      <c r="P61" t="s">
        <v>957</v>
      </c>
    </row>
    <row r="62" spans="1:16" x14ac:dyDescent="0.2">
      <c r="A62" t="str" cm="1">
        <f t="array" ref="A62">_xlfn.IFS(C62="it ITA", "Serie A", C62="eng ENG", "Premier League", C62="de GER", "Bundesliga", C62="es ESP", "La Liga", C62="fr FRA", "Ligue 1")</f>
        <v>Ligue 1</v>
      </c>
      <c r="B62" t="s">
        <v>1028</v>
      </c>
      <c r="C62" t="s">
        <v>157</v>
      </c>
      <c r="D62">
        <v>14</v>
      </c>
      <c r="E62">
        <v>38</v>
      </c>
      <c r="F62">
        <v>11</v>
      </c>
      <c r="G62">
        <v>11</v>
      </c>
      <c r="H62">
        <v>16</v>
      </c>
      <c r="I62">
        <v>39</v>
      </c>
      <c r="J62">
        <v>51</v>
      </c>
      <c r="K62">
        <v>-12</v>
      </c>
      <c r="L62">
        <v>44</v>
      </c>
      <c r="M62">
        <v>1.1599999999999999</v>
      </c>
      <c r="O62" t="s">
        <v>958</v>
      </c>
      <c r="P62" t="s">
        <v>959</v>
      </c>
    </row>
    <row r="63" spans="1:16" x14ac:dyDescent="0.2">
      <c r="A63" t="str" cm="1">
        <f t="array" ref="A63">_xlfn.IFS(C63="it ITA", "Serie A", C63="eng ENG", "Premier League", C63="de GER", "Bundesliga", C63="es ESP", "La Liga", C63="fr FRA", "Ligue 1")</f>
        <v>Bundesliga</v>
      </c>
      <c r="B63" t="s">
        <v>84</v>
      </c>
      <c r="C63" t="s">
        <v>160</v>
      </c>
      <c r="D63">
        <v>12</v>
      </c>
      <c r="E63">
        <v>34</v>
      </c>
      <c r="F63">
        <v>10</v>
      </c>
      <c r="G63">
        <v>9</v>
      </c>
      <c r="H63">
        <v>15</v>
      </c>
      <c r="I63">
        <v>42</v>
      </c>
      <c r="J63">
        <v>66</v>
      </c>
      <c r="K63">
        <v>-24</v>
      </c>
      <c r="L63">
        <v>39</v>
      </c>
      <c r="M63">
        <v>1.1499999999999999</v>
      </c>
      <c r="O63" t="s">
        <v>960</v>
      </c>
      <c r="P63" t="s">
        <v>961</v>
      </c>
    </row>
    <row r="64" spans="1:16" x14ac:dyDescent="0.2">
      <c r="A64" t="str" cm="1">
        <f t="array" ref="A64">_xlfn.IFS(C64="it ITA", "Serie A", C64="eng ENG", "Premier League", C64="de GER", "Bundesliga", C64="es ESP", "La Liga", C64="fr FRA", "Ligue 1")</f>
        <v>La Liga</v>
      </c>
      <c r="B64" t="s">
        <v>40</v>
      </c>
      <c r="C64" t="s">
        <v>165</v>
      </c>
      <c r="D64">
        <v>12</v>
      </c>
      <c r="E64">
        <v>38</v>
      </c>
      <c r="F64">
        <v>13</v>
      </c>
      <c r="G64">
        <v>4</v>
      </c>
      <c r="H64">
        <v>21</v>
      </c>
      <c r="I64">
        <v>46</v>
      </c>
      <c r="J64">
        <v>80</v>
      </c>
      <c r="K64">
        <v>-34</v>
      </c>
      <c r="L64">
        <v>43</v>
      </c>
      <c r="M64">
        <v>1.1299999999999999</v>
      </c>
      <c r="O64" t="s">
        <v>962</v>
      </c>
      <c r="P64" t="s">
        <v>963</v>
      </c>
    </row>
    <row r="65" spans="1:16" x14ac:dyDescent="0.2">
      <c r="A65" t="str" cm="1">
        <f t="array" ref="A65">_xlfn.IFS(C65="it ITA", "Serie A", C65="eng ENG", "Premier League", C65="de GER", "Bundesliga", C65="es ESP", "La Liga", C65="fr FRA", "Ligue 1")</f>
        <v>Premier League</v>
      </c>
      <c r="B65" t="s">
        <v>1029</v>
      </c>
      <c r="C65" t="s">
        <v>150</v>
      </c>
      <c r="D65">
        <v>12</v>
      </c>
      <c r="E65">
        <v>38</v>
      </c>
      <c r="F65">
        <v>11</v>
      </c>
      <c r="G65">
        <v>9</v>
      </c>
      <c r="H65">
        <v>18</v>
      </c>
      <c r="I65">
        <v>54</v>
      </c>
      <c r="J65">
        <v>54</v>
      </c>
      <c r="K65">
        <v>0</v>
      </c>
      <c r="L65">
        <v>42</v>
      </c>
      <c r="M65">
        <v>1.1100000000000001</v>
      </c>
      <c r="N65" s="1">
        <v>20407</v>
      </c>
      <c r="O65" t="s">
        <v>964</v>
      </c>
      <c r="P65" t="s">
        <v>965</v>
      </c>
    </row>
    <row r="66" spans="1:16" x14ac:dyDescent="0.2">
      <c r="A66" t="str" cm="1">
        <f t="array" ref="A66">_xlfn.IFS(C66="it ITA", "Serie A", C66="eng ENG", "Premier League", C66="de GER", "Bundesliga", C66="es ESP", "La Liga", C66="fr FRA", "Ligue 1")</f>
        <v>Ligue 1</v>
      </c>
      <c r="B66" t="s">
        <v>88</v>
      </c>
      <c r="C66" t="s">
        <v>157</v>
      </c>
      <c r="D66">
        <v>15</v>
      </c>
      <c r="E66">
        <v>38</v>
      </c>
      <c r="F66">
        <v>8</v>
      </c>
      <c r="G66">
        <v>18</v>
      </c>
      <c r="H66">
        <v>12</v>
      </c>
      <c r="I66">
        <v>45</v>
      </c>
      <c r="J66">
        <v>53</v>
      </c>
      <c r="K66">
        <v>-8</v>
      </c>
      <c r="L66">
        <v>42</v>
      </c>
      <c r="M66">
        <v>1.1100000000000001</v>
      </c>
      <c r="O66" t="s">
        <v>966</v>
      </c>
      <c r="P66" t="s">
        <v>724</v>
      </c>
    </row>
    <row r="67" spans="1:16" x14ac:dyDescent="0.2">
      <c r="A67" t="str" cm="1">
        <f t="array" ref="A67">_xlfn.IFS(C67="it ITA", "Serie A", C67="eng ENG", "Premier League", C67="de GER", "Bundesliga", C67="es ESP", "La Liga", C67="fr FRA", "Ligue 1")</f>
        <v>Ligue 1</v>
      </c>
      <c r="B67" t="s">
        <v>130</v>
      </c>
      <c r="C67" t="s">
        <v>157</v>
      </c>
      <c r="D67">
        <v>16</v>
      </c>
      <c r="E67">
        <v>38</v>
      </c>
      <c r="F67">
        <v>11</v>
      </c>
      <c r="G67">
        <v>9</v>
      </c>
      <c r="H67">
        <v>18</v>
      </c>
      <c r="I67">
        <v>34</v>
      </c>
      <c r="J67">
        <v>42</v>
      </c>
      <c r="K67">
        <v>-8</v>
      </c>
      <c r="L67">
        <v>42</v>
      </c>
      <c r="M67">
        <v>1.1100000000000001</v>
      </c>
      <c r="O67" t="s">
        <v>967</v>
      </c>
      <c r="P67" t="s">
        <v>968</v>
      </c>
    </row>
    <row r="68" spans="1:16" x14ac:dyDescent="0.2">
      <c r="A68" t="str" cm="1">
        <f t="array" ref="A68">_xlfn.IFS(C68="it ITA", "Serie A", C68="eng ENG", "Premier League", C68="de GER", "Bundesliga", C68="es ESP", "La Liga", C68="fr FRA", "Ligue 1")</f>
        <v>La Liga</v>
      </c>
      <c r="B68" t="s">
        <v>112</v>
      </c>
      <c r="C68" t="s">
        <v>165</v>
      </c>
      <c r="D68">
        <v>14</v>
      </c>
      <c r="E68">
        <v>38</v>
      </c>
      <c r="F68">
        <v>11</v>
      </c>
      <c r="G68">
        <v>9</v>
      </c>
      <c r="H68">
        <v>18</v>
      </c>
      <c r="I68">
        <v>41</v>
      </c>
      <c r="J68">
        <v>51</v>
      </c>
      <c r="K68">
        <v>-10</v>
      </c>
      <c r="L68">
        <v>42</v>
      </c>
      <c r="M68">
        <v>1.1100000000000001</v>
      </c>
      <c r="O68" t="s">
        <v>969</v>
      </c>
      <c r="P68" t="s">
        <v>970</v>
      </c>
    </row>
    <row r="69" spans="1:16" x14ac:dyDescent="0.2">
      <c r="A69" t="str" cm="1">
        <f t="array" ref="A69">_xlfn.IFS(C69="it ITA", "Serie A", C69="eng ENG", "Premier League", C69="de GER", "Bundesliga", C69="es ESP", "La Liga", C69="fr FRA", "Ligue 1")</f>
        <v>Ligue 1</v>
      </c>
      <c r="B69" t="s">
        <v>680</v>
      </c>
      <c r="C69" t="s">
        <v>157</v>
      </c>
      <c r="D69">
        <v>17</v>
      </c>
      <c r="E69">
        <v>38</v>
      </c>
      <c r="F69">
        <v>12</v>
      </c>
      <c r="G69">
        <v>6</v>
      </c>
      <c r="H69">
        <v>20</v>
      </c>
      <c r="I69">
        <v>30</v>
      </c>
      <c r="J69">
        <v>44</v>
      </c>
      <c r="K69">
        <v>-14</v>
      </c>
      <c r="L69">
        <v>42</v>
      </c>
      <c r="M69">
        <v>1.1100000000000001</v>
      </c>
      <c r="O69" t="s">
        <v>971</v>
      </c>
      <c r="P69" t="s">
        <v>795</v>
      </c>
    </row>
    <row r="70" spans="1:16" x14ac:dyDescent="0.2">
      <c r="A70" t="str" cm="1">
        <f t="array" ref="A70">_xlfn.IFS(C70="it ITA", "Serie A", C70="eng ENG", "Premier League", C70="de GER", "Bundesliga", C70="es ESP", "La Liga", C70="fr FRA", "Ligue 1")</f>
        <v>La Liga</v>
      </c>
      <c r="B70" t="s">
        <v>681</v>
      </c>
      <c r="C70" t="s">
        <v>165</v>
      </c>
      <c r="D70">
        <v>13</v>
      </c>
      <c r="E70">
        <v>38</v>
      </c>
      <c r="F70">
        <v>11</v>
      </c>
      <c r="G70">
        <v>9</v>
      </c>
      <c r="H70">
        <v>18</v>
      </c>
      <c r="I70">
        <v>35</v>
      </c>
      <c r="J70">
        <v>54</v>
      </c>
      <c r="K70">
        <v>-19</v>
      </c>
      <c r="L70">
        <v>42</v>
      </c>
      <c r="M70">
        <v>1.1100000000000001</v>
      </c>
      <c r="O70" t="s">
        <v>972</v>
      </c>
      <c r="P70" t="s">
        <v>973</v>
      </c>
    </row>
    <row r="71" spans="1:16" x14ac:dyDescent="0.2">
      <c r="A71" t="str" cm="1">
        <f t="array" ref="A71">_xlfn.IFS(C71="it ITA", "Serie A", C71="eng ENG", "Premier League", C71="de GER", "Bundesliga", C71="es ESP", "La Liga", C71="fr FRA", "Ligue 1")</f>
        <v>La Liga</v>
      </c>
      <c r="B71" t="s">
        <v>1030</v>
      </c>
      <c r="C71" t="s">
        <v>165</v>
      </c>
      <c r="D71">
        <v>15</v>
      </c>
      <c r="E71">
        <v>38</v>
      </c>
      <c r="F71">
        <v>12</v>
      </c>
      <c r="G71">
        <v>5</v>
      </c>
      <c r="H71">
        <v>21</v>
      </c>
      <c r="I71">
        <v>32</v>
      </c>
      <c r="J71">
        <v>56</v>
      </c>
      <c r="K71">
        <v>-24</v>
      </c>
      <c r="L71">
        <v>41</v>
      </c>
      <c r="M71">
        <v>1.08</v>
      </c>
      <c r="O71" t="s">
        <v>974</v>
      </c>
      <c r="P71" t="s">
        <v>975</v>
      </c>
    </row>
    <row r="72" spans="1:16" x14ac:dyDescent="0.2">
      <c r="A72" t="str" cm="1">
        <f t="array" ref="A72">_xlfn.IFS(C72="it ITA", "Serie A", C72="eng ENG", "Premier League", C72="de GER", "Bundesliga", C72="es ESP", "La Liga", C72="fr FRA", "Ligue 1")</f>
        <v>Bundesliga</v>
      </c>
      <c r="B72" t="s">
        <v>691</v>
      </c>
      <c r="C72" t="s">
        <v>160</v>
      </c>
      <c r="D72">
        <v>13</v>
      </c>
      <c r="E72">
        <v>34</v>
      </c>
      <c r="F72">
        <v>9</v>
      </c>
      <c r="G72">
        <v>9</v>
      </c>
      <c r="H72">
        <v>16</v>
      </c>
      <c r="I72">
        <v>40</v>
      </c>
      <c r="J72">
        <v>57</v>
      </c>
      <c r="K72">
        <v>-17</v>
      </c>
      <c r="L72">
        <v>36</v>
      </c>
      <c r="M72">
        <v>1.06</v>
      </c>
      <c r="O72" t="s">
        <v>976</v>
      </c>
      <c r="P72" t="s">
        <v>977</v>
      </c>
    </row>
    <row r="73" spans="1:16" x14ac:dyDescent="0.2">
      <c r="A73" t="str" cm="1">
        <f t="array" ref="A73">_xlfn.IFS(C73="it ITA", "Serie A", C73="eng ENG", "Premier League", C73="de GER", "Bundesliga", C73="es ESP", "La Liga", C73="fr FRA", "Ligue 1")</f>
        <v>Bundesliga</v>
      </c>
      <c r="B73" t="s">
        <v>70</v>
      </c>
      <c r="C73" t="s">
        <v>160</v>
      </c>
      <c r="D73">
        <v>14</v>
      </c>
      <c r="E73">
        <v>34</v>
      </c>
      <c r="F73">
        <v>9</v>
      </c>
      <c r="G73">
        <v>9</v>
      </c>
      <c r="H73">
        <v>16</v>
      </c>
      <c r="I73">
        <v>43</v>
      </c>
      <c r="J73">
        <v>61</v>
      </c>
      <c r="K73">
        <v>-18</v>
      </c>
      <c r="L73">
        <v>36</v>
      </c>
      <c r="M73">
        <v>1.06</v>
      </c>
      <c r="O73" t="s">
        <v>978</v>
      </c>
      <c r="P73" t="s">
        <v>979</v>
      </c>
    </row>
    <row r="74" spans="1:16" x14ac:dyDescent="0.2">
      <c r="A74" t="str" cm="1">
        <f t="array" ref="A74">_xlfn.IFS(C74="it ITA", "Serie A", C74="eng ENG", "Premier League", C74="de GER", "Bundesliga", C74="es ESP", "La Liga", C74="fr FRA", "Ligue 1")</f>
        <v>Premier League</v>
      </c>
      <c r="B74" t="s">
        <v>345</v>
      </c>
      <c r="C74" t="s">
        <v>150</v>
      </c>
      <c r="D74">
        <v>13</v>
      </c>
      <c r="E74">
        <v>38</v>
      </c>
      <c r="F74">
        <v>11</v>
      </c>
      <c r="G74">
        <v>7</v>
      </c>
      <c r="H74">
        <v>20</v>
      </c>
      <c r="I74">
        <v>40</v>
      </c>
      <c r="J74">
        <v>51</v>
      </c>
      <c r="K74">
        <v>-11</v>
      </c>
      <c r="L74">
        <v>40</v>
      </c>
      <c r="M74">
        <v>1.05</v>
      </c>
      <c r="N74" s="1">
        <v>34197</v>
      </c>
      <c r="O74" t="s">
        <v>980</v>
      </c>
      <c r="P74" t="s">
        <v>981</v>
      </c>
    </row>
    <row r="75" spans="1:16" x14ac:dyDescent="0.2">
      <c r="A75" t="str" cm="1">
        <f t="array" ref="A75">_xlfn.IFS(C75="it ITA", "Serie A", C75="eng ENG", "Premier League", C75="de GER", "Bundesliga", C75="es ESP", "La Liga", C75="fr FRA", "Ligue 1")</f>
        <v>La Liga</v>
      </c>
      <c r="B75" t="s">
        <v>1031</v>
      </c>
      <c r="C75" t="s">
        <v>165</v>
      </c>
      <c r="D75">
        <v>16</v>
      </c>
      <c r="E75">
        <v>38</v>
      </c>
      <c r="F75">
        <v>9</v>
      </c>
      <c r="G75">
        <v>13</v>
      </c>
      <c r="H75">
        <v>16</v>
      </c>
      <c r="I75">
        <v>30</v>
      </c>
      <c r="J75">
        <v>50</v>
      </c>
      <c r="K75">
        <v>-20</v>
      </c>
      <c r="L75">
        <v>40</v>
      </c>
      <c r="M75">
        <v>1.05</v>
      </c>
      <c r="O75" t="s">
        <v>982</v>
      </c>
      <c r="P75" t="s">
        <v>983</v>
      </c>
    </row>
    <row r="76" spans="1:16" x14ac:dyDescent="0.2">
      <c r="A76" t="str" cm="1">
        <f t="array" ref="A76">_xlfn.IFS(C76="it ITA", "Serie A", C76="eng ENG", "Premier League", C76="de GER", "Bundesliga", C76="es ESP", "La Liga", C76="fr FRA", "Ligue 1")</f>
        <v>Ligue 1</v>
      </c>
      <c r="B76" t="s">
        <v>95</v>
      </c>
      <c r="C76" t="s">
        <v>157</v>
      </c>
      <c r="D76">
        <v>18</v>
      </c>
      <c r="E76">
        <v>38</v>
      </c>
      <c r="F76">
        <v>10</v>
      </c>
      <c r="G76">
        <v>10</v>
      </c>
      <c r="H76">
        <v>18</v>
      </c>
      <c r="I76">
        <v>37</v>
      </c>
      <c r="J76">
        <v>61</v>
      </c>
      <c r="K76">
        <v>-24</v>
      </c>
      <c r="L76">
        <v>40</v>
      </c>
      <c r="M76">
        <v>1.05</v>
      </c>
      <c r="O76" t="s">
        <v>984</v>
      </c>
      <c r="P76" t="s">
        <v>816</v>
      </c>
    </row>
    <row r="77" spans="1:16" x14ac:dyDescent="0.2">
      <c r="A77" t="str" cm="1">
        <f t="array" ref="A77">_xlfn.IFS(C77="it ITA", "Serie A", C77="eng ENG", "Premier League", C77="de GER", "Bundesliga", C77="es ESP", "La Liga", C77="fr FRA", "Ligue 1")</f>
        <v>La Liga</v>
      </c>
      <c r="B77" t="s">
        <v>859</v>
      </c>
      <c r="C77" t="s">
        <v>165</v>
      </c>
      <c r="D77">
        <v>17</v>
      </c>
      <c r="E77">
        <v>38</v>
      </c>
      <c r="F77">
        <v>11</v>
      </c>
      <c r="G77">
        <v>7</v>
      </c>
      <c r="H77">
        <v>20</v>
      </c>
      <c r="I77">
        <v>43</v>
      </c>
      <c r="J77">
        <v>71</v>
      </c>
      <c r="K77">
        <v>-28</v>
      </c>
      <c r="L77">
        <v>40</v>
      </c>
      <c r="M77">
        <v>1.05</v>
      </c>
      <c r="O77" t="s">
        <v>985</v>
      </c>
      <c r="P77" t="s">
        <v>313</v>
      </c>
    </row>
    <row r="78" spans="1:16" x14ac:dyDescent="0.2">
      <c r="A78" t="str" cm="1">
        <f t="array" ref="A78">_xlfn.IFS(C78="it ITA", "Serie A", C78="eng ENG", "Premier League", C78="de GER", "Bundesliga", C78="es ESP", "La Liga", C78="fr FRA", "Ligue 1")</f>
        <v>Serie A</v>
      </c>
      <c r="B78" t="s">
        <v>44</v>
      </c>
      <c r="C78" t="s">
        <v>147</v>
      </c>
      <c r="D78">
        <v>15</v>
      </c>
      <c r="E78">
        <v>38</v>
      </c>
      <c r="F78">
        <v>9</v>
      </c>
      <c r="G78">
        <v>12</v>
      </c>
      <c r="H78">
        <v>17</v>
      </c>
      <c r="I78">
        <v>34</v>
      </c>
      <c r="J78">
        <v>53</v>
      </c>
      <c r="K78">
        <v>-19</v>
      </c>
      <c r="L78">
        <v>39</v>
      </c>
      <c r="M78">
        <v>1.03</v>
      </c>
      <c r="O78" t="s">
        <v>986</v>
      </c>
      <c r="P78" t="s">
        <v>987</v>
      </c>
    </row>
    <row r="79" spans="1:16" x14ac:dyDescent="0.2">
      <c r="A79" t="str" cm="1">
        <f t="array" ref="A79">_xlfn.IFS(C79="it ITA", "Serie A", C79="eng ENG", "Premier League", C79="de GER", "Bundesliga", C79="es ESP", "La Liga", C79="fr FRA", "Ligue 1")</f>
        <v>La Liga</v>
      </c>
      <c r="B79" t="s">
        <v>38</v>
      </c>
      <c r="C79" t="s">
        <v>165</v>
      </c>
      <c r="D79">
        <v>18</v>
      </c>
      <c r="E79">
        <v>38</v>
      </c>
      <c r="F79">
        <v>10</v>
      </c>
      <c r="G79">
        <v>9</v>
      </c>
      <c r="H79">
        <v>19</v>
      </c>
      <c r="I79">
        <v>32</v>
      </c>
      <c r="J79">
        <v>62</v>
      </c>
      <c r="K79">
        <v>-30</v>
      </c>
      <c r="L79">
        <v>39</v>
      </c>
      <c r="M79">
        <v>1.03</v>
      </c>
      <c r="O79" t="s">
        <v>988</v>
      </c>
      <c r="P79" t="s">
        <v>989</v>
      </c>
    </row>
    <row r="80" spans="1:16" x14ac:dyDescent="0.2">
      <c r="A80" t="str" cm="1">
        <f t="array" ref="A80">_xlfn.IFS(C80="it ITA", "Serie A", C80="eng ENG", "Premier League", C80="de GER", "Bundesliga", C80="es ESP", "La Liga", C80="fr FRA", "Ligue 1")</f>
        <v>Premier League</v>
      </c>
      <c r="B80" t="s">
        <v>522</v>
      </c>
      <c r="C80" t="s">
        <v>150</v>
      </c>
      <c r="D80">
        <v>14</v>
      </c>
      <c r="E80">
        <v>38</v>
      </c>
      <c r="F80">
        <v>10</v>
      </c>
      <c r="G80">
        <v>8</v>
      </c>
      <c r="H80">
        <v>20</v>
      </c>
      <c r="I80">
        <v>41</v>
      </c>
      <c r="J80">
        <v>60</v>
      </c>
      <c r="K80">
        <v>-19</v>
      </c>
      <c r="L80">
        <v>38</v>
      </c>
      <c r="M80">
        <v>1</v>
      </c>
      <c r="N80" s="1">
        <v>41090</v>
      </c>
      <c r="O80" t="s">
        <v>990</v>
      </c>
      <c r="P80" t="s">
        <v>991</v>
      </c>
    </row>
    <row r="81" spans="1:16" x14ac:dyDescent="0.2">
      <c r="A81" t="str" cm="1">
        <f t="array" ref="A81">_xlfn.IFS(C81="it ITA", "Serie A", C81="eng ENG", "Premier League", C81="de GER", "Bundesliga", C81="es ESP", "La Liga", C81="fr FRA", "Ligue 1")</f>
        <v>Premier League</v>
      </c>
      <c r="B81" t="s">
        <v>1</v>
      </c>
      <c r="C81" t="s">
        <v>150</v>
      </c>
      <c r="D81">
        <v>15</v>
      </c>
      <c r="E81">
        <v>38</v>
      </c>
      <c r="F81">
        <v>10</v>
      </c>
      <c r="G81">
        <v>8</v>
      </c>
      <c r="H81">
        <v>20</v>
      </c>
      <c r="I81">
        <v>39</v>
      </c>
      <c r="J81">
        <v>61</v>
      </c>
      <c r="K81">
        <v>-22</v>
      </c>
      <c r="L81">
        <v>38</v>
      </c>
      <c r="M81">
        <v>1</v>
      </c>
      <c r="N81" s="1">
        <v>36081</v>
      </c>
      <c r="O81" t="s">
        <v>992</v>
      </c>
      <c r="P81" t="s">
        <v>993</v>
      </c>
    </row>
    <row r="82" spans="1:16" x14ac:dyDescent="0.2">
      <c r="A82" t="str" cm="1">
        <f t="array" ref="A82">_xlfn.IFS(C82="it ITA", "Serie A", C82="eng ENG", "Premier League", C82="de GER", "Bundesliga", C82="es ESP", "La Liga", C82="fr FRA", "Ligue 1")</f>
        <v>Premier League</v>
      </c>
      <c r="B82" t="s">
        <v>864</v>
      </c>
      <c r="C82" t="s">
        <v>150</v>
      </c>
      <c r="D82">
        <v>16</v>
      </c>
      <c r="E82">
        <v>38</v>
      </c>
      <c r="F82">
        <v>10</v>
      </c>
      <c r="G82">
        <v>7</v>
      </c>
      <c r="H82">
        <v>21</v>
      </c>
      <c r="I82">
        <v>38</v>
      </c>
      <c r="J82">
        <v>53</v>
      </c>
      <c r="K82">
        <v>-15</v>
      </c>
      <c r="L82">
        <v>37</v>
      </c>
      <c r="M82">
        <v>0.97</v>
      </c>
      <c r="N82" s="1">
        <v>24117</v>
      </c>
      <c r="O82" t="s">
        <v>994</v>
      </c>
      <c r="P82" t="s">
        <v>995</v>
      </c>
    </row>
    <row r="83" spans="1:16" x14ac:dyDescent="0.2">
      <c r="A83" t="str" cm="1">
        <f t="array" ref="A83">_xlfn.IFS(C83="it ITA", "Serie A", C83="eng ENG", "Premier League", C83="de GER", "Bundesliga", C83="es ESP", "La Liga", C83="fr FRA", "Ligue 1")</f>
        <v>Premier League</v>
      </c>
      <c r="B83" t="s">
        <v>698</v>
      </c>
      <c r="C83" t="s">
        <v>150</v>
      </c>
      <c r="D83">
        <v>17</v>
      </c>
      <c r="E83">
        <v>38</v>
      </c>
      <c r="F83">
        <v>7</v>
      </c>
      <c r="G83">
        <v>15</v>
      </c>
      <c r="H83">
        <v>16</v>
      </c>
      <c r="I83">
        <v>43</v>
      </c>
      <c r="J83">
        <v>59</v>
      </c>
      <c r="K83">
        <v>-16</v>
      </c>
      <c r="L83">
        <v>36</v>
      </c>
      <c r="M83">
        <v>0.95</v>
      </c>
      <c r="N83" s="1">
        <v>25194</v>
      </c>
      <c r="O83" t="s">
        <v>996</v>
      </c>
      <c r="P83" t="s">
        <v>997</v>
      </c>
    </row>
    <row r="84" spans="1:16" x14ac:dyDescent="0.2">
      <c r="A84" t="str" cm="1">
        <f t="array" ref="A84">_xlfn.IFS(C84="it ITA", "Serie A", C84="eng ENG", "Premier League", C84="de GER", "Bundesliga", C84="es ESP", "La Liga", C84="fr FRA", "Ligue 1")</f>
        <v>Serie A</v>
      </c>
      <c r="B84" t="s">
        <v>510</v>
      </c>
      <c r="C84" t="s">
        <v>147</v>
      </c>
      <c r="D84">
        <v>16</v>
      </c>
      <c r="E84">
        <v>38</v>
      </c>
      <c r="F84">
        <v>10</v>
      </c>
      <c r="G84">
        <v>6</v>
      </c>
      <c r="H84">
        <v>22</v>
      </c>
      <c r="I84">
        <v>34</v>
      </c>
      <c r="J84">
        <v>54</v>
      </c>
      <c r="K84">
        <v>-20</v>
      </c>
      <c r="L84">
        <v>36</v>
      </c>
      <c r="M84">
        <v>0.95</v>
      </c>
      <c r="O84" t="s">
        <v>998</v>
      </c>
      <c r="P84" t="s">
        <v>999</v>
      </c>
    </row>
    <row r="85" spans="1:16" x14ac:dyDescent="0.2">
      <c r="A85" t="str" cm="1">
        <f t="array" ref="A85">_xlfn.IFS(C85="it ITA", "Serie A", C85="eng ENG", "Premier League", C85="de GER", "Bundesliga", C85="es ESP", "La Liga", C85="fr FRA", "Ligue 1")</f>
        <v>La Liga</v>
      </c>
      <c r="B85" t="s">
        <v>34</v>
      </c>
      <c r="C85" t="s">
        <v>165</v>
      </c>
      <c r="D85">
        <v>19</v>
      </c>
      <c r="E85">
        <v>38</v>
      </c>
      <c r="F85">
        <v>7</v>
      </c>
      <c r="G85">
        <v>15</v>
      </c>
      <c r="H85">
        <v>16</v>
      </c>
      <c r="I85">
        <v>38</v>
      </c>
      <c r="J85">
        <v>60</v>
      </c>
      <c r="K85">
        <v>-22</v>
      </c>
      <c r="L85">
        <v>36</v>
      </c>
      <c r="M85">
        <v>0.95</v>
      </c>
      <c r="O85" t="s">
        <v>1000</v>
      </c>
      <c r="P85" t="s">
        <v>1001</v>
      </c>
    </row>
    <row r="86" spans="1:16" x14ac:dyDescent="0.2">
      <c r="A86" t="str" cm="1">
        <f t="array" ref="A86">_xlfn.IFS(C86="it ITA", "Serie A", C86="eng ENG", "Premier League", C86="de GER", "Bundesliga", C86="es ESP", "La Liga", C86="fr FRA", "Ligue 1")</f>
        <v>Bundesliga</v>
      </c>
      <c r="B86" t="s">
        <v>81</v>
      </c>
      <c r="C86" t="s">
        <v>160</v>
      </c>
      <c r="D86">
        <v>15</v>
      </c>
      <c r="E86">
        <v>34</v>
      </c>
      <c r="F86">
        <v>8</v>
      </c>
      <c r="G86">
        <v>8</v>
      </c>
      <c r="H86">
        <v>18</v>
      </c>
      <c r="I86">
        <v>49</v>
      </c>
      <c r="J86">
        <v>62</v>
      </c>
      <c r="K86">
        <v>-13</v>
      </c>
      <c r="L86">
        <v>32</v>
      </c>
      <c r="M86">
        <v>0.94</v>
      </c>
      <c r="O86" t="s">
        <v>1002</v>
      </c>
      <c r="P86" t="s">
        <v>1003</v>
      </c>
    </row>
    <row r="87" spans="1:16" x14ac:dyDescent="0.2">
      <c r="A87" t="str" cm="1">
        <f t="array" ref="A87">_xlfn.IFS(C87="it ITA", "Serie A", C87="eng ENG", "Premier League", C87="de GER", "Bundesliga", C87="es ESP", "La Liga", C87="fr FRA", "Ligue 1")</f>
        <v>Serie A</v>
      </c>
      <c r="B87" t="s">
        <v>1032</v>
      </c>
      <c r="C87" t="s">
        <v>147</v>
      </c>
      <c r="D87">
        <v>17</v>
      </c>
      <c r="E87">
        <v>38</v>
      </c>
      <c r="F87">
        <v>9</v>
      </c>
      <c r="G87">
        <v>7</v>
      </c>
      <c r="H87">
        <v>22</v>
      </c>
      <c r="I87">
        <v>43</v>
      </c>
      <c r="J87">
        <v>72</v>
      </c>
      <c r="K87">
        <v>-29</v>
      </c>
      <c r="L87">
        <v>34</v>
      </c>
      <c r="M87">
        <v>0.89</v>
      </c>
      <c r="O87" t="s">
        <v>1004</v>
      </c>
      <c r="P87" t="s">
        <v>1005</v>
      </c>
    </row>
    <row r="88" spans="1:16" x14ac:dyDescent="0.2">
      <c r="A88" t="str" cm="1">
        <f t="array" ref="A88">_xlfn.IFS(C88="it ITA", "Serie A", C88="eng ENG", "Premier League", C88="de GER", "Bundesliga", C88="es ESP", "La Liga", C88="fr FRA", "Ligue 1")</f>
        <v>Premier League</v>
      </c>
      <c r="B88" t="s">
        <v>13</v>
      </c>
      <c r="C88" t="s">
        <v>150</v>
      </c>
      <c r="D88">
        <v>18</v>
      </c>
      <c r="E88">
        <v>38</v>
      </c>
      <c r="F88">
        <v>8</v>
      </c>
      <c r="G88">
        <v>9</v>
      </c>
      <c r="H88">
        <v>21</v>
      </c>
      <c r="I88">
        <v>28</v>
      </c>
      <c r="J88">
        <v>62</v>
      </c>
      <c r="K88">
        <v>-34</v>
      </c>
      <c r="L88">
        <v>33</v>
      </c>
      <c r="M88">
        <v>0.87</v>
      </c>
      <c r="N88" s="1">
        <v>26805</v>
      </c>
      <c r="O88" t="s">
        <v>1006</v>
      </c>
      <c r="P88" t="s">
        <v>1007</v>
      </c>
    </row>
    <row r="89" spans="1:16" x14ac:dyDescent="0.2">
      <c r="A89" t="str" cm="1">
        <f t="array" ref="A89">_xlfn.IFS(C89="it ITA", "Serie A", C89="eng ENG", "Premier League", C89="de GER", "Bundesliga", C89="es ESP", "La Liga", C89="fr FRA", "Ligue 1")</f>
        <v>Serie A</v>
      </c>
      <c r="B89" t="s">
        <v>858</v>
      </c>
      <c r="C89" t="s">
        <v>147</v>
      </c>
      <c r="D89">
        <v>18</v>
      </c>
      <c r="E89">
        <v>38</v>
      </c>
      <c r="F89">
        <v>8</v>
      </c>
      <c r="G89">
        <v>8</v>
      </c>
      <c r="H89">
        <v>22</v>
      </c>
      <c r="I89">
        <v>34</v>
      </c>
      <c r="J89">
        <v>66</v>
      </c>
      <c r="K89">
        <v>-32</v>
      </c>
      <c r="L89">
        <v>32</v>
      </c>
      <c r="M89">
        <v>0.84</v>
      </c>
      <c r="O89" t="s">
        <v>1008</v>
      </c>
      <c r="P89" t="s">
        <v>587</v>
      </c>
    </row>
    <row r="90" spans="1:16" x14ac:dyDescent="0.2">
      <c r="A90" t="str" cm="1">
        <f t="array" ref="A90">_xlfn.IFS(C90="it ITA", "Serie A", C90="eng ENG", "Premier League", C90="de GER", "Bundesliga", C90="es ESP", "La Liga", C90="fr FRA", "Ligue 1")</f>
        <v>Premier League</v>
      </c>
      <c r="B90" t="s">
        <v>516</v>
      </c>
      <c r="C90" t="s">
        <v>150</v>
      </c>
      <c r="D90">
        <v>19</v>
      </c>
      <c r="E90">
        <v>38</v>
      </c>
      <c r="F90">
        <v>9</v>
      </c>
      <c r="G90">
        <v>5</v>
      </c>
      <c r="H90">
        <v>24</v>
      </c>
      <c r="I90">
        <v>40</v>
      </c>
      <c r="J90">
        <v>85</v>
      </c>
      <c r="K90">
        <v>-45</v>
      </c>
      <c r="L90">
        <v>32</v>
      </c>
      <c r="M90">
        <v>0.84</v>
      </c>
      <c r="N90" s="1">
        <v>24977</v>
      </c>
      <c r="O90" t="s">
        <v>1009</v>
      </c>
      <c r="P90" t="s">
        <v>1010</v>
      </c>
    </row>
    <row r="91" spans="1:16" x14ac:dyDescent="0.2">
      <c r="A91" t="str" cm="1">
        <f t="array" ref="A91">_xlfn.IFS(C91="it ITA", "Serie A", C91="eng ENG", "Premier League", C91="de GER", "Bundesliga", C91="es ESP", "La Liga", C91="fr FRA", "Ligue 1")</f>
        <v>Bundesliga</v>
      </c>
      <c r="B91" t="s">
        <v>71</v>
      </c>
      <c r="C91" t="s">
        <v>160</v>
      </c>
      <c r="D91">
        <v>16</v>
      </c>
      <c r="E91">
        <v>34</v>
      </c>
      <c r="F91">
        <v>7</v>
      </c>
      <c r="G91">
        <v>6</v>
      </c>
      <c r="H91">
        <v>21</v>
      </c>
      <c r="I91">
        <v>51</v>
      </c>
      <c r="J91">
        <v>75</v>
      </c>
      <c r="K91">
        <v>-24</v>
      </c>
      <c r="L91">
        <v>27</v>
      </c>
      <c r="M91">
        <v>0.79</v>
      </c>
      <c r="O91" t="s">
        <v>1011</v>
      </c>
      <c r="P91" t="s">
        <v>730</v>
      </c>
    </row>
    <row r="92" spans="1:16" x14ac:dyDescent="0.2">
      <c r="A92" t="str" cm="1">
        <f t="array" ref="A92">_xlfn.IFS(C92="it ITA", "Serie A", C92="eng ENG", "Premier League", C92="de GER", "Bundesliga", C92="es ESP", "La Liga", C92="fr FRA", "Ligue 1")</f>
        <v>Premier League</v>
      </c>
      <c r="B92" t="s">
        <v>1033</v>
      </c>
      <c r="C92" t="s">
        <v>150</v>
      </c>
      <c r="D92">
        <v>20</v>
      </c>
      <c r="E92">
        <v>38</v>
      </c>
      <c r="F92">
        <v>7</v>
      </c>
      <c r="G92">
        <v>9</v>
      </c>
      <c r="H92">
        <v>22</v>
      </c>
      <c r="I92">
        <v>32</v>
      </c>
      <c r="J92">
        <v>74</v>
      </c>
      <c r="K92">
        <v>-42</v>
      </c>
      <c r="L92">
        <v>30</v>
      </c>
      <c r="M92">
        <v>0.79</v>
      </c>
      <c r="N92" s="1">
        <v>27430</v>
      </c>
      <c r="O92" t="s">
        <v>1012</v>
      </c>
      <c r="P92" t="s">
        <v>1013</v>
      </c>
    </row>
    <row r="93" spans="1:16" x14ac:dyDescent="0.2">
      <c r="A93" t="str" cm="1">
        <f t="array" ref="A93">_xlfn.IFS(C93="it ITA", "Serie A", C93="eng ENG", "Premier League", C93="de GER", "Bundesliga", C93="es ESP", "La Liga", C93="fr FRA", "Ligue 1")</f>
        <v>Ligue 1</v>
      </c>
      <c r="B93" t="s">
        <v>855</v>
      </c>
      <c r="C93" t="s">
        <v>157</v>
      </c>
      <c r="D93">
        <v>19</v>
      </c>
      <c r="E93">
        <v>38</v>
      </c>
      <c r="F93">
        <v>7</v>
      </c>
      <c r="G93">
        <v>8</v>
      </c>
      <c r="H93">
        <v>23</v>
      </c>
      <c r="I93">
        <v>37</v>
      </c>
      <c r="J93">
        <v>65</v>
      </c>
      <c r="K93">
        <v>-28</v>
      </c>
      <c r="L93">
        <v>29</v>
      </c>
      <c r="M93">
        <v>0.76</v>
      </c>
      <c r="O93" t="s">
        <v>1014</v>
      </c>
      <c r="P93" t="s">
        <v>442</v>
      </c>
    </row>
    <row r="94" spans="1:16" x14ac:dyDescent="0.2">
      <c r="A94" t="str" cm="1">
        <f t="array" ref="A94">_xlfn.IFS(C94="it ITA", "Serie A", C94="eng ENG", "Premier League", C94="de GER", "Bundesliga", C94="es ESP", "La Liga", C94="fr FRA", "Ligue 1")</f>
        <v>Serie A</v>
      </c>
      <c r="B94" t="s">
        <v>120</v>
      </c>
      <c r="C94" t="s">
        <v>147</v>
      </c>
      <c r="D94">
        <v>19</v>
      </c>
      <c r="E94">
        <v>38</v>
      </c>
      <c r="F94">
        <v>5</v>
      </c>
      <c r="G94">
        <v>14</v>
      </c>
      <c r="H94">
        <v>19</v>
      </c>
      <c r="I94">
        <v>28</v>
      </c>
      <c r="J94">
        <v>58</v>
      </c>
      <c r="K94">
        <v>-30</v>
      </c>
      <c r="L94">
        <v>29</v>
      </c>
      <c r="M94">
        <v>0.76</v>
      </c>
      <c r="O94" t="s">
        <v>1015</v>
      </c>
      <c r="P94" t="s">
        <v>839</v>
      </c>
    </row>
    <row r="95" spans="1:16" x14ac:dyDescent="0.2">
      <c r="A95" t="str" cm="1">
        <f t="array" ref="A95">_xlfn.IFS(C95="it ITA", "Serie A", C95="eng ENG", "Premier League", C95="de GER", "Bundesliga", C95="es ESP", "La Liga", C95="fr FRA", "Ligue 1")</f>
        <v>Bundesliga</v>
      </c>
      <c r="B95" t="s">
        <v>524</v>
      </c>
      <c r="C95" t="s">
        <v>160</v>
      </c>
      <c r="D95">
        <v>17</v>
      </c>
      <c r="E95">
        <v>34</v>
      </c>
      <c r="F95">
        <v>5</v>
      </c>
      <c r="G95">
        <v>11</v>
      </c>
      <c r="H95">
        <v>18</v>
      </c>
      <c r="I95">
        <v>37</v>
      </c>
      <c r="J95">
        <v>70</v>
      </c>
      <c r="K95">
        <v>-33</v>
      </c>
      <c r="L95">
        <v>26</v>
      </c>
      <c r="M95">
        <v>0.76</v>
      </c>
      <c r="O95" t="s">
        <v>1016</v>
      </c>
      <c r="P95" t="s">
        <v>596</v>
      </c>
    </row>
    <row r="96" spans="1:16" x14ac:dyDescent="0.2">
      <c r="A96" t="str" cm="1">
        <f t="array" ref="A96">_xlfn.IFS(C96="it ITA", "Serie A", C96="eng ENG", "Premier League", C96="de GER", "Bundesliga", C96="es ESP", "La Liga", C96="fr FRA", "Ligue 1")</f>
        <v>Bundesliga</v>
      </c>
      <c r="B96" t="s">
        <v>1034</v>
      </c>
      <c r="C96" t="s">
        <v>160</v>
      </c>
      <c r="D96">
        <v>18</v>
      </c>
      <c r="E96">
        <v>34</v>
      </c>
      <c r="F96">
        <v>6</v>
      </c>
      <c r="G96">
        <v>7</v>
      </c>
      <c r="H96">
        <v>21</v>
      </c>
      <c r="I96">
        <v>29</v>
      </c>
      <c r="J96">
        <v>60</v>
      </c>
      <c r="K96">
        <v>-31</v>
      </c>
      <c r="L96">
        <v>25</v>
      </c>
      <c r="M96">
        <v>0.74</v>
      </c>
      <c r="O96" t="s">
        <v>1017</v>
      </c>
      <c r="P96" t="s">
        <v>1018</v>
      </c>
    </row>
    <row r="97" spans="1:16" x14ac:dyDescent="0.2">
      <c r="A97" t="str" cm="1">
        <f t="array" ref="A97">_xlfn.IFS(C97="it ITA", "Serie A", C97="eng ENG", "Premier League", C97="de GER", "Bundesliga", C97="es ESP", "La Liga", C97="fr FRA", "Ligue 1")</f>
        <v>Serie A</v>
      </c>
      <c r="B97" t="s">
        <v>685</v>
      </c>
      <c r="C97" t="s">
        <v>147</v>
      </c>
      <c r="D97">
        <v>20</v>
      </c>
      <c r="E97">
        <v>38</v>
      </c>
      <c r="F97">
        <v>6</v>
      </c>
      <c r="G97">
        <v>7</v>
      </c>
      <c r="H97">
        <v>25</v>
      </c>
      <c r="I97">
        <v>39</v>
      </c>
      <c r="J97">
        <v>77</v>
      </c>
      <c r="K97">
        <v>-38</v>
      </c>
      <c r="L97">
        <v>25</v>
      </c>
      <c r="M97">
        <v>0.66</v>
      </c>
      <c r="O97" t="s">
        <v>1019</v>
      </c>
      <c r="P97" t="s">
        <v>1020</v>
      </c>
    </row>
    <row r="98" spans="1:16" x14ac:dyDescent="0.2">
      <c r="A98" t="str" cm="1">
        <f t="array" ref="A98">_xlfn.IFS(C98="it ITA", "Serie A", C98="eng ENG", "Premier League", C98="de GER", "Bundesliga", C98="es ESP", "La Liga", C98="fr FRA", "Ligue 1")</f>
        <v>La Liga</v>
      </c>
      <c r="B98" t="s">
        <v>109</v>
      </c>
      <c r="C98" t="s">
        <v>165</v>
      </c>
      <c r="D98">
        <v>20</v>
      </c>
      <c r="E98">
        <v>38</v>
      </c>
      <c r="F98">
        <v>6</v>
      </c>
      <c r="G98">
        <v>7</v>
      </c>
      <c r="H98">
        <v>25</v>
      </c>
      <c r="I98">
        <v>36</v>
      </c>
      <c r="J98">
        <v>78</v>
      </c>
      <c r="K98">
        <v>-42</v>
      </c>
      <c r="L98">
        <v>25</v>
      </c>
      <c r="M98">
        <v>0.66</v>
      </c>
      <c r="O98" t="s">
        <v>1021</v>
      </c>
      <c r="P98" t="s">
        <v>1022</v>
      </c>
    </row>
    <row r="99" spans="1:16" x14ac:dyDescent="0.2">
      <c r="A99" t="str" cm="1">
        <f t="array" ref="A99">_xlfn.IFS(C99="it ITA", "Serie A", C99="eng ENG", "Premier League", C99="de GER", "Bundesliga", C99="es ESP", "La Liga", C99="fr FRA", "Ligue 1")</f>
        <v>Ligue 1</v>
      </c>
      <c r="B99" t="s">
        <v>696</v>
      </c>
      <c r="C99" t="s">
        <v>157</v>
      </c>
      <c r="D99">
        <v>20</v>
      </c>
      <c r="E99">
        <v>38</v>
      </c>
      <c r="F99">
        <v>4</v>
      </c>
      <c r="G99">
        <v>11</v>
      </c>
      <c r="H99">
        <v>23</v>
      </c>
      <c r="I99">
        <v>37</v>
      </c>
      <c r="J99">
        <v>72</v>
      </c>
      <c r="K99">
        <v>-35</v>
      </c>
      <c r="L99">
        <v>23</v>
      </c>
      <c r="M99">
        <v>0.61</v>
      </c>
      <c r="O99" t="s">
        <v>1023</v>
      </c>
      <c r="P99" t="s">
        <v>1024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34AE-1944-104E-A60D-8D3A9A26BE3F}">
  <dimension ref="A1:T99"/>
  <sheetViews>
    <sheetView workbookViewId="0">
      <selection activeCell="A2" sqref="A2:A99"/>
    </sheetView>
  </sheetViews>
  <sheetFormatPr baseColWidth="10" defaultRowHeight="16" x14ac:dyDescent="0.2"/>
  <sheetData>
    <row r="1" spans="1:20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1035</v>
      </c>
      <c r="O1" t="s">
        <v>1036</v>
      </c>
      <c r="P1" t="s">
        <v>1037</v>
      </c>
      <c r="Q1" t="s">
        <v>1038</v>
      </c>
      <c r="R1" t="s">
        <v>144</v>
      </c>
      <c r="S1" t="s">
        <v>145</v>
      </c>
      <c r="T1" t="s">
        <v>146</v>
      </c>
    </row>
    <row r="2" spans="1:20" x14ac:dyDescent="0.2">
      <c r="A2" t="str" cm="1">
        <f t="array" ref="A2">_xlfn.IFS(C2="it ITA", "Serie A", C2="eng ENG", "Premier League", C2="de GER", "Bundesliga", C2="es ESP", "La Liga", C2="fr FRA", "Ligue 1")</f>
        <v>Premier League</v>
      </c>
      <c r="B2" t="s">
        <v>10</v>
      </c>
      <c r="C2" t="s">
        <v>150</v>
      </c>
      <c r="D2">
        <v>1</v>
      </c>
      <c r="E2">
        <v>38</v>
      </c>
      <c r="F2">
        <v>32</v>
      </c>
      <c r="G2">
        <v>4</v>
      </c>
      <c r="H2">
        <v>2</v>
      </c>
      <c r="I2">
        <v>106</v>
      </c>
      <c r="J2">
        <v>27</v>
      </c>
      <c r="K2">
        <v>79</v>
      </c>
      <c r="L2">
        <v>100</v>
      </c>
      <c r="M2">
        <v>2.63</v>
      </c>
      <c r="N2">
        <v>78.599999999999994</v>
      </c>
      <c r="O2">
        <v>23.8</v>
      </c>
      <c r="P2">
        <v>54.8</v>
      </c>
      <c r="Q2">
        <v>1.44</v>
      </c>
      <c r="R2" s="1">
        <v>53812</v>
      </c>
      <c r="S2" t="s">
        <v>1039</v>
      </c>
      <c r="T2" t="s">
        <v>1040</v>
      </c>
    </row>
    <row r="3" spans="1:20" x14ac:dyDescent="0.2">
      <c r="A3" t="str" cm="1">
        <f t="array" ref="A3">_xlfn.IFS(C3="it ITA", "Serie A", C3="eng ENG", "Premier League", C3="de GER", "Bundesliga", C3="es ESP", "La Liga", C3="fr FRA", "Ligue 1")</f>
        <v>Serie A</v>
      </c>
      <c r="B3" t="s">
        <v>49</v>
      </c>
      <c r="C3" t="s">
        <v>147</v>
      </c>
      <c r="D3">
        <v>1</v>
      </c>
      <c r="E3">
        <v>38</v>
      </c>
      <c r="F3">
        <v>30</v>
      </c>
      <c r="G3">
        <v>5</v>
      </c>
      <c r="H3">
        <v>3</v>
      </c>
      <c r="I3">
        <v>86</v>
      </c>
      <c r="J3">
        <v>24</v>
      </c>
      <c r="K3">
        <v>62</v>
      </c>
      <c r="L3">
        <v>95</v>
      </c>
      <c r="M3">
        <v>2.5</v>
      </c>
      <c r="N3">
        <v>55.3</v>
      </c>
      <c r="O3">
        <v>27.4</v>
      </c>
      <c r="P3">
        <v>27.9</v>
      </c>
      <c r="Q3">
        <v>0.73</v>
      </c>
      <c r="R3" s="1">
        <v>38919</v>
      </c>
      <c r="S3" t="s">
        <v>1041</v>
      </c>
      <c r="T3" t="s">
        <v>185</v>
      </c>
    </row>
    <row r="4" spans="1:20" x14ac:dyDescent="0.2">
      <c r="A4" t="str" cm="1">
        <f t="array" ref="A4">_xlfn.IFS(C4="it ITA", "Serie A", C4="eng ENG", "Premier League", C4="de GER", "Bundesliga", C4="es ESP", "La Liga", C4="fr FRA", "Ligue 1")</f>
        <v>Bundesliga</v>
      </c>
      <c r="B4" t="s">
        <v>63</v>
      </c>
      <c r="C4" t="s">
        <v>160</v>
      </c>
      <c r="D4">
        <v>1</v>
      </c>
      <c r="E4">
        <v>34</v>
      </c>
      <c r="F4">
        <v>27</v>
      </c>
      <c r="G4">
        <v>3</v>
      </c>
      <c r="H4">
        <v>4</v>
      </c>
      <c r="I4">
        <v>92</v>
      </c>
      <c r="J4">
        <v>28</v>
      </c>
      <c r="K4">
        <v>64</v>
      </c>
      <c r="L4">
        <v>84</v>
      </c>
      <c r="M4">
        <v>2.4700000000000002</v>
      </c>
      <c r="N4">
        <v>75.8</v>
      </c>
      <c r="O4">
        <v>31.7</v>
      </c>
      <c r="P4">
        <v>44.1</v>
      </c>
      <c r="Q4">
        <v>1.3</v>
      </c>
      <c r="R4" s="1">
        <v>75000</v>
      </c>
      <c r="S4" t="s">
        <v>1042</v>
      </c>
      <c r="T4" t="s">
        <v>1003</v>
      </c>
    </row>
    <row r="5" spans="1:20" x14ac:dyDescent="0.2">
      <c r="A5" t="str" cm="1">
        <f t="array" ref="A5">_xlfn.IFS(C5="it ITA", "Serie A", C5="eng ENG", "Premier League", C5="de GER", "Bundesliga", C5="es ESP", "La Liga", C5="fr FRA", "Ligue 1")</f>
        <v>Ligue 1</v>
      </c>
      <c r="B5" t="s">
        <v>344</v>
      </c>
      <c r="C5" t="s">
        <v>157</v>
      </c>
      <c r="D5">
        <v>1</v>
      </c>
      <c r="E5">
        <v>38</v>
      </c>
      <c r="F5">
        <v>29</v>
      </c>
      <c r="G5">
        <v>6</v>
      </c>
      <c r="H5">
        <v>3</v>
      </c>
      <c r="I5">
        <v>108</v>
      </c>
      <c r="J5">
        <v>29</v>
      </c>
      <c r="K5">
        <v>79</v>
      </c>
      <c r="L5">
        <v>93</v>
      </c>
      <c r="M5">
        <v>2.4500000000000002</v>
      </c>
      <c r="N5">
        <v>86.1</v>
      </c>
      <c r="O5">
        <v>34.299999999999997</v>
      </c>
      <c r="P5">
        <v>51.7</v>
      </c>
      <c r="Q5">
        <v>1.36</v>
      </c>
      <c r="R5" s="1">
        <v>46930</v>
      </c>
      <c r="S5" t="s">
        <v>1043</v>
      </c>
      <c r="T5" t="s">
        <v>1044</v>
      </c>
    </row>
    <row r="6" spans="1:20" x14ac:dyDescent="0.2">
      <c r="A6" t="str" cm="1">
        <f t="array" ref="A6">_xlfn.IFS(C6="it ITA", "Serie A", C6="eng ENG", "Premier League", C6="de GER", "Bundesliga", C6="es ESP", "La Liga", C6="fr FRA", "Ligue 1")</f>
        <v>La Liga</v>
      </c>
      <c r="B6" t="s">
        <v>23</v>
      </c>
      <c r="C6" t="s">
        <v>165</v>
      </c>
      <c r="D6">
        <v>1</v>
      </c>
      <c r="E6">
        <v>38</v>
      </c>
      <c r="F6">
        <v>28</v>
      </c>
      <c r="G6">
        <v>9</v>
      </c>
      <c r="H6">
        <v>1</v>
      </c>
      <c r="I6">
        <v>99</v>
      </c>
      <c r="J6">
        <v>29</v>
      </c>
      <c r="K6">
        <v>70</v>
      </c>
      <c r="L6">
        <v>93</v>
      </c>
      <c r="M6">
        <v>2.4500000000000002</v>
      </c>
      <c r="N6">
        <v>83.5</v>
      </c>
      <c r="O6">
        <v>41.9</v>
      </c>
      <c r="P6">
        <v>41.6</v>
      </c>
      <c r="Q6">
        <v>1.0900000000000001</v>
      </c>
      <c r="R6" s="1">
        <v>67142</v>
      </c>
      <c r="S6" t="s">
        <v>700</v>
      </c>
      <c r="T6" t="s">
        <v>901</v>
      </c>
    </row>
    <row r="7" spans="1:20" x14ac:dyDescent="0.2">
      <c r="A7" t="str" cm="1">
        <f t="array" ref="A7">_xlfn.IFS(C7="it ITA", "Serie A", C7="eng ENG", "Premier League", C7="de GER", "Bundesliga", C7="es ESP", "La Liga", C7="fr FRA", "Ligue 1")</f>
        <v>Serie A</v>
      </c>
      <c r="B7" t="s">
        <v>53</v>
      </c>
      <c r="C7" t="s">
        <v>147</v>
      </c>
      <c r="D7">
        <v>2</v>
      </c>
      <c r="E7">
        <v>38</v>
      </c>
      <c r="F7">
        <v>28</v>
      </c>
      <c r="G7">
        <v>7</v>
      </c>
      <c r="H7">
        <v>3</v>
      </c>
      <c r="I7">
        <v>77</v>
      </c>
      <c r="J7">
        <v>29</v>
      </c>
      <c r="K7">
        <v>48</v>
      </c>
      <c r="L7">
        <v>91</v>
      </c>
      <c r="M7">
        <v>2.39</v>
      </c>
      <c r="N7">
        <v>67.099999999999994</v>
      </c>
      <c r="O7">
        <v>27.1</v>
      </c>
      <c r="P7">
        <v>40.1</v>
      </c>
      <c r="Q7">
        <v>1.05</v>
      </c>
      <c r="R7" s="1">
        <v>42633</v>
      </c>
      <c r="S7" t="s">
        <v>1045</v>
      </c>
      <c r="T7" t="s">
        <v>537</v>
      </c>
    </row>
    <row r="8" spans="1:20" x14ac:dyDescent="0.2">
      <c r="A8" t="str" cm="1">
        <f t="array" ref="A8">_xlfn.IFS(C8="it ITA", "Serie A", C8="eng ENG", "Premier League", C8="de GER", "Bundesliga", C8="es ESP", "La Liga", C8="fr FRA", "Ligue 1")</f>
        <v>Premier League</v>
      </c>
      <c r="B8" t="s">
        <v>340</v>
      </c>
      <c r="C8" t="s">
        <v>150</v>
      </c>
      <c r="D8">
        <v>2</v>
      </c>
      <c r="E8">
        <v>38</v>
      </c>
      <c r="F8">
        <v>25</v>
      </c>
      <c r="G8">
        <v>6</v>
      </c>
      <c r="H8">
        <v>7</v>
      </c>
      <c r="I8">
        <v>68</v>
      </c>
      <c r="J8">
        <v>28</v>
      </c>
      <c r="K8">
        <v>40</v>
      </c>
      <c r="L8">
        <v>81</v>
      </c>
      <c r="M8">
        <v>2.13</v>
      </c>
      <c r="N8">
        <v>55.7</v>
      </c>
      <c r="O8">
        <v>40.700000000000003</v>
      </c>
      <c r="P8">
        <v>15</v>
      </c>
      <c r="Q8">
        <v>0.4</v>
      </c>
      <c r="R8" s="1">
        <v>74976</v>
      </c>
      <c r="S8" t="s">
        <v>1046</v>
      </c>
      <c r="T8" t="s">
        <v>778</v>
      </c>
    </row>
    <row r="9" spans="1:20" x14ac:dyDescent="0.2">
      <c r="A9" t="str" cm="1">
        <f t="array" ref="A9">_xlfn.IFS(C9="it ITA", "Serie A", C9="eng ENG", "Premier League", C9="de GER", "Bundesliga", C9="es ESP", "La Liga", C9="fr FRA", "Ligue 1")</f>
        <v>Ligue 1</v>
      </c>
      <c r="B9" t="s">
        <v>90</v>
      </c>
      <c r="C9" t="s">
        <v>157</v>
      </c>
      <c r="D9">
        <v>2</v>
      </c>
      <c r="E9">
        <v>38</v>
      </c>
      <c r="F9">
        <v>24</v>
      </c>
      <c r="G9">
        <v>8</v>
      </c>
      <c r="H9">
        <v>6</v>
      </c>
      <c r="I9">
        <v>85</v>
      </c>
      <c r="J9">
        <v>45</v>
      </c>
      <c r="K9">
        <v>40</v>
      </c>
      <c r="L9">
        <v>80</v>
      </c>
      <c r="M9">
        <v>2.11</v>
      </c>
      <c r="N9">
        <v>62.3</v>
      </c>
      <c r="O9">
        <v>48.5</v>
      </c>
      <c r="P9">
        <v>13.8</v>
      </c>
      <c r="Q9">
        <v>0.36</v>
      </c>
      <c r="R9" s="1">
        <v>9243</v>
      </c>
      <c r="S9" t="s">
        <v>1047</v>
      </c>
      <c r="T9" t="s">
        <v>879</v>
      </c>
    </row>
    <row r="10" spans="1:20" x14ac:dyDescent="0.2">
      <c r="A10" t="str" cm="1">
        <f t="array" ref="A10">_xlfn.IFS(C10="it ITA", "Serie A", C10="eng ENG", "Premier League", C10="de GER", "Bundesliga", C10="es ESP", "La Liga", C10="fr FRA", "Ligue 1")</f>
        <v>La Liga</v>
      </c>
      <c r="B10" t="s">
        <v>25</v>
      </c>
      <c r="C10" t="s">
        <v>165</v>
      </c>
      <c r="D10">
        <v>2</v>
      </c>
      <c r="E10">
        <v>38</v>
      </c>
      <c r="F10">
        <v>23</v>
      </c>
      <c r="G10">
        <v>10</v>
      </c>
      <c r="H10">
        <v>5</v>
      </c>
      <c r="I10">
        <v>58</v>
      </c>
      <c r="J10">
        <v>22</v>
      </c>
      <c r="K10">
        <v>36</v>
      </c>
      <c r="L10">
        <v>79</v>
      </c>
      <c r="M10">
        <v>2.08</v>
      </c>
      <c r="N10">
        <v>50.2</v>
      </c>
      <c r="O10">
        <v>35.799999999999997</v>
      </c>
      <c r="P10">
        <v>14.4</v>
      </c>
      <c r="Q10">
        <v>0.38</v>
      </c>
      <c r="R10" s="1">
        <v>52707</v>
      </c>
      <c r="S10" t="s">
        <v>1048</v>
      </c>
      <c r="T10" t="s">
        <v>1049</v>
      </c>
    </row>
    <row r="11" spans="1:20" x14ac:dyDescent="0.2">
      <c r="A11" t="str" cm="1">
        <f t="array" ref="A11">_xlfn.IFS(C11="it ITA", "Serie A", C11="eng ENG", "Premier League", C11="de GER", "Bundesliga", C11="es ESP", "La Liga", C11="fr FRA", "Ligue 1")</f>
        <v>Ligue 1</v>
      </c>
      <c r="B11" t="s">
        <v>89</v>
      </c>
      <c r="C11" t="s">
        <v>157</v>
      </c>
      <c r="D11">
        <v>3</v>
      </c>
      <c r="E11">
        <v>38</v>
      </c>
      <c r="F11">
        <v>23</v>
      </c>
      <c r="G11">
        <v>9</v>
      </c>
      <c r="H11">
        <v>6</v>
      </c>
      <c r="I11">
        <v>87</v>
      </c>
      <c r="J11">
        <v>43</v>
      </c>
      <c r="K11">
        <v>44</v>
      </c>
      <c r="L11">
        <v>78</v>
      </c>
      <c r="M11">
        <v>2.0499999999999998</v>
      </c>
      <c r="N11">
        <v>63.4</v>
      </c>
      <c r="O11">
        <v>40.1</v>
      </c>
      <c r="P11">
        <v>23.3</v>
      </c>
      <c r="Q11">
        <v>0.61</v>
      </c>
      <c r="R11" s="1">
        <v>44047</v>
      </c>
      <c r="S11" t="s">
        <v>1050</v>
      </c>
      <c r="T11" t="s">
        <v>903</v>
      </c>
    </row>
    <row r="12" spans="1:20" x14ac:dyDescent="0.2">
      <c r="A12" t="str" cm="1">
        <f t="array" ref="A12">_xlfn.IFS(C12="it ITA", "Serie A", C12="eng ENG", "Premier League", C12="de GER", "Bundesliga", C12="es ESP", "La Liga", C12="fr FRA", "Ligue 1")</f>
        <v>Premier League</v>
      </c>
      <c r="B12" t="s">
        <v>350</v>
      </c>
      <c r="C12" t="s">
        <v>150</v>
      </c>
      <c r="D12">
        <v>3</v>
      </c>
      <c r="E12">
        <v>38</v>
      </c>
      <c r="F12">
        <v>23</v>
      </c>
      <c r="G12">
        <v>8</v>
      </c>
      <c r="H12">
        <v>7</v>
      </c>
      <c r="I12">
        <v>74</v>
      </c>
      <c r="J12">
        <v>36</v>
      </c>
      <c r="K12">
        <v>38</v>
      </c>
      <c r="L12">
        <v>77</v>
      </c>
      <c r="M12">
        <v>2.0299999999999998</v>
      </c>
      <c r="N12">
        <v>64.7</v>
      </c>
      <c r="O12">
        <v>33.9</v>
      </c>
      <c r="P12">
        <v>30.8</v>
      </c>
      <c r="Q12">
        <v>0.81</v>
      </c>
      <c r="R12" s="1">
        <v>67496</v>
      </c>
      <c r="S12" t="s">
        <v>1051</v>
      </c>
      <c r="T12" t="s">
        <v>715</v>
      </c>
    </row>
    <row r="13" spans="1:20" x14ac:dyDescent="0.2">
      <c r="A13" t="str" cm="1">
        <f t="array" ref="A13">_xlfn.IFS(C13="it ITA", "Serie A", C13="eng ENG", "Premier League", C13="de GER", "Bundesliga", C13="es ESP", "La Liga", C13="fr FRA", "Ligue 1")</f>
        <v>Serie A</v>
      </c>
      <c r="B13" t="s">
        <v>57</v>
      </c>
      <c r="C13" t="s">
        <v>147</v>
      </c>
      <c r="D13">
        <v>3</v>
      </c>
      <c r="E13">
        <v>38</v>
      </c>
      <c r="F13">
        <v>23</v>
      </c>
      <c r="G13">
        <v>8</v>
      </c>
      <c r="H13">
        <v>7</v>
      </c>
      <c r="I13">
        <v>61</v>
      </c>
      <c r="J13">
        <v>28</v>
      </c>
      <c r="K13">
        <v>33</v>
      </c>
      <c r="L13">
        <v>77</v>
      </c>
      <c r="M13">
        <v>2.0299999999999998</v>
      </c>
      <c r="N13">
        <v>63.4</v>
      </c>
      <c r="O13">
        <v>37.200000000000003</v>
      </c>
      <c r="P13">
        <v>26.2</v>
      </c>
      <c r="Q13">
        <v>0.69</v>
      </c>
      <c r="R13" s="1">
        <v>37451</v>
      </c>
      <c r="S13" t="s">
        <v>1052</v>
      </c>
      <c r="T13" t="s">
        <v>1053</v>
      </c>
    </row>
    <row r="14" spans="1:20" x14ac:dyDescent="0.2">
      <c r="A14" t="str" cm="1">
        <f t="array" ref="A14">_xlfn.IFS(C14="it ITA", "Serie A", C14="eng ENG", "Premier League", C14="de GER", "Bundesliga", C14="es ESP", "La Liga", C14="fr FRA", "Ligue 1")</f>
        <v>Ligue 1</v>
      </c>
      <c r="B14" t="s">
        <v>101</v>
      </c>
      <c r="C14" t="s">
        <v>157</v>
      </c>
      <c r="D14">
        <v>4</v>
      </c>
      <c r="E14">
        <v>38</v>
      </c>
      <c r="F14">
        <v>22</v>
      </c>
      <c r="G14">
        <v>11</v>
      </c>
      <c r="H14">
        <v>5</v>
      </c>
      <c r="I14">
        <v>80</v>
      </c>
      <c r="J14">
        <v>47</v>
      </c>
      <c r="K14">
        <v>33</v>
      </c>
      <c r="L14">
        <v>77</v>
      </c>
      <c r="M14">
        <v>2.0299999999999998</v>
      </c>
      <c r="N14">
        <v>78.099999999999994</v>
      </c>
      <c r="O14">
        <v>41.8</v>
      </c>
      <c r="P14">
        <v>36.299999999999997</v>
      </c>
      <c r="Q14">
        <v>0.96</v>
      </c>
      <c r="R14" s="1">
        <v>46616</v>
      </c>
      <c r="S14" t="s">
        <v>1054</v>
      </c>
      <c r="T14" t="s">
        <v>709</v>
      </c>
    </row>
    <row r="15" spans="1:20" x14ac:dyDescent="0.2">
      <c r="A15" t="str" cm="1">
        <f t="array" ref="A15">_xlfn.IFS(C15="it ITA", "Serie A", C15="eng ENG", "Premier League", C15="de GER", "Bundesliga", C15="es ESP", "La Liga", C15="fr FRA", "Ligue 1")</f>
        <v>La Liga</v>
      </c>
      <c r="B15" t="s">
        <v>24</v>
      </c>
      <c r="C15" t="s">
        <v>165</v>
      </c>
      <c r="D15">
        <v>3</v>
      </c>
      <c r="E15">
        <v>38</v>
      </c>
      <c r="F15">
        <v>22</v>
      </c>
      <c r="G15">
        <v>10</v>
      </c>
      <c r="H15">
        <v>6</v>
      </c>
      <c r="I15">
        <v>94</v>
      </c>
      <c r="J15">
        <v>44</v>
      </c>
      <c r="K15">
        <v>50</v>
      </c>
      <c r="L15">
        <v>76</v>
      </c>
      <c r="M15">
        <v>2</v>
      </c>
      <c r="N15">
        <v>85.4</v>
      </c>
      <c r="O15">
        <v>43.2</v>
      </c>
      <c r="P15">
        <v>42.2</v>
      </c>
      <c r="Q15">
        <v>1.1100000000000001</v>
      </c>
      <c r="R15" s="1">
        <v>66863</v>
      </c>
      <c r="S15" t="s">
        <v>1055</v>
      </c>
      <c r="T15" t="s">
        <v>938</v>
      </c>
    </row>
    <row r="16" spans="1:20" x14ac:dyDescent="0.2">
      <c r="A16" t="str" cm="1">
        <f t="array" ref="A16">_xlfn.IFS(C16="it ITA", "Serie A", C16="eng ENG", "Premier League", C16="de GER", "Bundesliga", C16="es ESP", "La Liga", C16="fr FRA", "Ligue 1")</f>
        <v>Premier League</v>
      </c>
      <c r="B16" t="s">
        <v>9</v>
      </c>
      <c r="C16" t="s">
        <v>150</v>
      </c>
      <c r="D16">
        <v>4</v>
      </c>
      <c r="E16">
        <v>38</v>
      </c>
      <c r="F16">
        <v>21</v>
      </c>
      <c r="G16">
        <v>12</v>
      </c>
      <c r="H16">
        <v>5</v>
      </c>
      <c r="I16">
        <v>84</v>
      </c>
      <c r="J16">
        <v>38</v>
      </c>
      <c r="K16">
        <v>46</v>
      </c>
      <c r="L16">
        <v>75</v>
      </c>
      <c r="M16">
        <v>1.97</v>
      </c>
      <c r="N16">
        <v>72.900000000000006</v>
      </c>
      <c r="O16">
        <v>33.799999999999997</v>
      </c>
      <c r="P16">
        <v>39.1</v>
      </c>
      <c r="Q16">
        <v>1.03</v>
      </c>
      <c r="R16" s="1">
        <v>53049</v>
      </c>
      <c r="S16" t="s">
        <v>1056</v>
      </c>
      <c r="T16" t="s">
        <v>1057</v>
      </c>
    </row>
    <row r="17" spans="1:20" x14ac:dyDescent="0.2">
      <c r="A17" t="str" cm="1">
        <f t="array" ref="A17">_xlfn.IFS(C17="it ITA", "Serie A", C17="eng ENG", "Premier League", C17="de GER", "Bundesliga", C17="es ESP", "La Liga", C17="fr FRA", "Ligue 1")</f>
        <v>La Liga</v>
      </c>
      <c r="B17" t="s">
        <v>26</v>
      </c>
      <c r="C17" t="s">
        <v>165</v>
      </c>
      <c r="D17">
        <v>4</v>
      </c>
      <c r="E17">
        <v>38</v>
      </c>
      <c r="F17">
        <v>22</v>
      </c>
      <c r="G17">
        <v>7</v>
      </c>
      <c r="H17">
        <v>9</v>
      </c>
      <c r="I17">
        <v>65</v>
      </c>
      <c r="J17">
        <v>38</v>
      </c>
      <c r="K17">
        <v>27</v>
      </c>
      <c r="L17">
        <v>73</v>
      </c>
      <c r="M17">
        <v>1.92</v>
      </c>
      <c r="N17">
        <v>56</v>
      </c>
      <c r="O17">
        <v>48.3</v>
      </c>
      <c r="P17">
        <v>7.7</v>
      </c>
      <c r="Q17">
        <v>0.2</v>
      </c>
      <c r="R17" s="1">
        <v>38607</v>
      </c>
      <c r="S17" t="s">
        <v>1058</v>
      </c>
      <c r="T17" t="s">
        <v>896</v>
      </c>
    </row>
    <row r="18" spans="1:20" x14ac:dyDescent="0.2">
      <c r="A18" t="str" cm="1">
        <f t="array" ref="A18">_xlfn.IFS(C18="it ITA", "Serie A", C18="eng ENG", "Premier League", C18="de GER", "Bundesliga", C18="es ESP", "La Liga", C18="fr FRA", "Ligue 1")</f>
        <v>Serie A</v>
      </c>
      <c r="B18" t="s">
        <v>50</v>
      </c>
      <c r="C18" t="s">
        <v>147</v>
      </c>
      <c r="D18">
        <v>5</v>
      </c>
      <c r="E18">
        <v>38</v>
      </c>
      <c r="F18">
        <v>21</v>
      </c>
      <c r="G18">
        <v>9</v>
      </c>
      <c r="H18">
        <v>8</v>
      </c>
      <c r="I18">
        <v>89</v>
      </c>
      <c r="J18">
        <v>49</v>
      </c>
      <c r="K18">
        <v>40</v>
      </c>
      <c r="L18">
        <v>72</v>
      </c>
      <c r="M18">
        <v>1.89</v>
      </c>
      <c r="N18">
        <v>63.7</v>
      </c>
      <c r="O18">
        <v>43.9</v>
      </c>
      <c r="P18">
        <v>19.899999999999999</v>
      </c>
      <c r="Q18">
        <v>0.52</v>
      </c>
      <c r="R18" s="1">
        <v>32123</v>
      </c>
      <c r="S18" t="s">
        <v>1059</v>
      </c>
      <c r="T18" t="s">
        <v>1060</v>
      </c>
    </row>
    <row r="19" spans="1:20" x14ac:dyDescent="0.2">
      <c r="A19" t="str" cm="1">
        <f t="array" ref="A19">_xlfn.IFS(C19="it ITA", "Serie A", C19="eng ENG", "Premier League", C19="de GER", "Bundesliga", C19="es ESP", "La Liga", C19="fr FRA", "Ligue 1")</f>
        <v>Serie A</v>
      </c>
      <c r="B19" t="s">
        <v>341</v>
      </c>
      <c r="C19" t="s">
        <v>147</v>
      </c>
      <c r="D19">
        <v>4</v>
      </c>
      <c r="E19">
        <v>38</v>
      </c>
      <c r="F19">
        <v>20</v>
      </c>
      <c r="G19">
        <v>12</v>
      </c>
      <c r="H19">
        <v>6</v>
      </c>
      <c r="I19">
        <v>66</v>
      </c>
      <c r="J19">
        <v>30</v>
      </c>
      <c r="K19">
        <v>36</v>
      </c>
      <c r="L19">
        <v>72</v>
      </c>
      <c r="M19">
        <v>1.89</v>
      </c>
      <c r="N19">
        <v>56.7</v>
      </c>
      <c r="O19">
        <v>37.200000000000003</v>
      </c>
      <c r="P19">
        <v>19.600000000000001</v>
      </c>
      <c r="Q19">
        <v>0.52</v>
      </c>
      <c r="R19" s="1">
        <v>57529</v>
      </c>
      <c r="S19" t="s">
        <v>1061</v>
      </c>
      <c r="T19" t="s">
        <v>789</v>
      </c>
    </row>
    <row r="20" spans="1:20" x14ac:dyDescent="0.2">
      <c r="A20" t="str" cm="1">
        <f t="array" ref="A20">_xlfn.IFS(C20="it ITA", "Serie A", C20="eng ENG", "Premier League", C20="de GER", "Bundesliga", C20="es ESP", "La Liga", C20="fr FRA", "Ligue 1")</f>
        <v>Bundesliga</v>
      </c>
      <c r="B20" t="s">
        <v>125</v>
      </c>
      <c r="C20" t="s">
        <v>160</v>
      </c>
      <c r="D20">
        <v>2</v>
      </c>
      <c r="E20">
        <v>34</v>
      </c>
      <c r="F20">
        <v>18</v>
      </c>
      <c r="G20">
        <v>9</v>
      </c>
      <c r="H20">
        <v>7</v>
      </c>
      <c r="I20">
        <v>53</v>
      </c>
      <c r="J20">
        <v>37</v>
      </c>
      <c r="K20">
        <v>16</v>
      </c>
      <c r="L20">
        <v>63</v>
      </c>
      <c r="M20">
        <v>1.85</v>
      </c>
      <c r="N20">
        <v>46.7</v>
      </c>
      <c r="O20">
        <v>40.200000000000003</v>
      </c>
      <c r="P20">
        <v>6.6</v>
      </c>
      <c r="Q20">
        <v>0.19</v>
      </c>
      <c r="R20" s="1">
        <v>61297</v>
      </c>
      <c r="S20" t="s">
        <v>1062</v>
      </c>
      <c r="T20" t="s">
        <v>886</v>
      </c>
    </row>
    <row r="21" spans="1:20" x14ac:dyDescent="0.2">
      <c r="A21" t="str" cm="1">
        <f t="array" ref="A21">_xlfn.IFS(C21="it ITA", "Serie A", C21="eng ENG", "Premier League", C21="de GER", "Bundesliga", C21="es ESP", "La Liga", C21="fr FRA", "Ligue 1")</f>
        <v>Premier League</v>
      </c>
      <c r="B21" t="s">
        <v>4</v>
      </c>
      <c r="C21" t="s">
        <v>150</v>
      </c>
      <c r="D21">
        <v>5</v>
      </c>
      <c r="E21">
        <v>38</v>
      </c>
      <c r="F21">
        <v>21</v>
      </c>
      <c r="G21">
        <v>7</v>
      </c>
      <c r="H21">
        <v>10</v>
      </c>
      <c r="I21">
        <v>62</v>
      </c>
      <c r="J21">
        <v>38</v>
      </c>
      <c r="K21">
        <v>24</v>
      </c>
      <c r="L21">
        <v>70</v>
      </c>
      <c r="M21">
        <v>1.84</v>
      </c>
      <c r="N21">
        <v>54.4</v>
      </c>
      <c r="O21">
        <v>33.799999999999997</v>
      </c>
      <c r="P21">
        <v>20.6</v>
      </c>
      <c r="Q21">
        <v>0.54</v>
      </c>
      <c r="R21" s="1">
        <v>41282</v>
      </c>
      <c r="S21" t="s">
        <v>1063</v>
      </c>
      <c r="T21" t="s">
        <v>869</v>
      </c>
    </row>
    <row r="22" spans="1:20" x14ac:dyDescent="0.2">
      <c r="A22" t="str" cm="1">
        <f t="array" ref="A22">_xlfn.IFS(C22="it ITA", "Serie A", C22="eng ENG", "Premier League", C22="de GER", "Bundesliga", C22="es ESP", "La Liga", C22="fr FRA", "Ligue 1")</f>
        <v>Serie A</v>
      </c>
      <c r="B22" t="s">
        <v>52</v>
      </c>
      <c r="C22" t="s">
        <v>147</v>
      </c>
      <c r="D22">
        <v>6</v>
      </c>
      <c r="E22">
        <v>38</v>
      </c>
      <c r="F22">
        <v>18</v>
      </c>
      <c r="G22">
        <v>10</v>
      </c>
      <c r="H22">
        <v>10</v>
      </c>
      <c r="I22">
        <v>56</v>
      </c>
      <c r="J22">
        <v>42</v>
      </c>
      <c r="K22">
        <v>14</v>
      </c>
      <c r="L22">
        <v>64</v>
      </c>
      <c r="M22">
        <v>1.68</v>
      </c>
      <c r="N22">
        <v>51.2</v>
      </c>
      <c r="O22">
        <v>36.9</v>
      </c>
      <c r="P22">
        <v>14.3</v>
      </c>
      <c r="Q22">
        <v>0.38</v>
      </c>
      <c r="R22" s="1">
        <v>52690</v>
      </c>
      <c r="S22" t="s">
        <v>1064</v>
      </c>
      <c r="T22" t="s">
        <v>1065</v>
      </c>
    </row>
    <row r="23" spans="1:20" x14ac:dyDescent="0.2">
      <c r="A23" t="str" cm="1">
        <f t="array" ref="A23">_xlfn.IFS(C23="it ITA", "Serie A", C23="eng ENG", "Premier League", C23="de GER", "Bundesliga", C23="es ESP", "La Liga", C23="fr FRA", "Ligue 1")</f>
        <v>Premier League</v>
      </c>
      <c r="B23" t="s">
        <v>0</v>
      </c>
      <c r="C23" t="s">
        <v>150</v>
      </c>
      <c r="D23">
        <v>6</v>
      </c>
      <c r="E23">
        <v>38</v>
      </c>
      <c r="F23">
        <v>19</v>
      </c>
      <c r="G23">
        <v>6</v>
      </c>
      <c r="H23">
        <v>13</v>
      </c>
      <c r="I23">
        <v>74</v>
      </c>
      <c r="J23">
        <v>51</v>
      </c>
      <c r="K23">
        <v>23</v>
      </c>
      <c r="L23">
        <v>63</v>
      </c>
      <c r="M23">
        <v>1.66</v>
      </c>
      <c r="N23">
        <v>68.3</v>
      </c>
      <c r="O23">
        <v>47.8</v>
      </c>
      <c r="P23">
        <v>20.5</v>
      </c>
      <c r="Q23">
        <v>0.54</v>
      </c>
      <c r="R23" s="1">
        <v>59323</v>
      </c>
      <c r="S23" t="s">
        <v>1066</v>
      </c>
      <c r="T23" t="s">
        <v>529</v>
      </c>
    </row>
    <row r="24" spans="1:20" x14ac:dyDescent="0.2">
      <c r="A24" t="str" cm="1">
        <f t="array" ref="A24">_xlfn.IFS(C24="it ITA", "Serie A", C24="eng ENG", "Premier League", C24="de GER", "Bundesliga", C24="es ESP", "La Liga", C24="fr FRA", "Ligue 1")</f>
        <v>Bundesliga</v>
      </c>
      <c r="B24" t="s">
        <v>856</v>
      </c>
      <c r="C24" t="s">
        <v>160</v>
      </c>
      <c r="D24">
        <v>3</v>
      </c>
      <c r="E24">
        <v>34</v>
      </c>
      <c r="F24">
        <v>15</v>
      </c>
      <c r="G24">
        <v>10</v>
      </c>
      <c r="H24">
        <v>9</v>
      </c>
      <c r="I24">
        <v>66</v>
      </c>
      <c r="J24">
        <v>48</v>
      </c>
      <c r="K24">
        <v>18</v>
      </c>
      <c r="L24">
        <v>55</v>
      </c>
      <c r="M24">
        <v>1.62</v>
      </c>
      <c r="N24">
        <v>50.5</v>
      </c>
      <c r="O24">
        <v>47.2</v>
      </c>
      <c r="P24">
        <v>3.3</v>
      </c>
      <c r="Q24">
        <v>0.1</v>
      </c>
      <c r="R24" s="1">
        <v>28716</v>
      </c>
      <c r="S24" t="s">
        <v>1067</v>
      </c>
      <c r="T24" t="s">
        <v>979</v>
      </c>
    </row>
    <row r="25" spans="1:20" x14ac:dyDescent="0.2">
      <c r="A25" t="str" cm="1">
        <f t="array" ref="A25">_xlfn.IFS(C25="it ITA", "Serie A", C25="eng ENG", "Premier League", C25="de GER", "Bundesliga", C25="es ESP", "La Liga", C25="fr FRA", "Ligue 1")</f>
        <v>Bundesliga</v>
      </c>
      <c r="B25" t="s">
        <v>65</v>
      </c>
      <c r="C25" t="s">
        <v>160</v>
      </c>
      <c r="D25">
        <v>4</v>
      </c>
      <c r="E25">
        <v>34</v>
      </c>
      <c r="F25">
        <v>15</v>
      </c>
      <c r="G25">
        <v>10</v>
      </c>
      <c r="H25">
        <v>9</v>
      </c>
      <c r="I25">
        <v>64</v>
      </c>
      <c r="J25">
        <v>47</v>
      </c>
      <c r="K25">
        <v>17</v>
      </c>
      <c r="L25">
        <v>55</v>
      </c>
      <c r="M25">
        <v>1.62</v>
      </c>
      <c r="N25">
        <v>66</v>
      </c>
      <c r="O25">
        <v>42.2</v>
      </c>
      <c r="P25">
        <v>23.8</v>
      </c>
      <c r="Q25">
        <v>0.7</v>
      </c>
      <c r="R25" s="1">
        <v>79496</v>
      </c>
      <c r="S25" t="s">
        <v>1068</v>
      </c>
      <c r="T25" t="s">
        <v>1069</v>
      </c>
    </row>
    <row r="26" spans="1:20" x14ac:dyDescent="0.2">
      <c r="A26" t="str" cm="1">
        <f t="array" ref="A26">_xlfn.IFS(C26="it ITA", "Serie A", C26="eng ENG", "Premier League", C26="de GER", "Bundesliga", C26="es ESP", "La Liga", C26="fr FRA", "Ligue 1")</f>
        <v>Bundesliga</v>
      </c>
      <c r="B26" t="s">
        <v>62</v>
      </c>
      <c r="C26" t="s">
        <v>160</v>
      </c>
      <c r="D26">
        <v>5</v>
      </c>
      <c r="E26">
        <v>34</v>
      </c>
      <c r="F26">
        <v>15</v>
      </c>
      <c r="G26">
        <v>10</v>
      </c>
      <c r="H26">
        <v>9</v>
      </c>
      <c r="I26">
        <v>58</v>
      </c>
      <c r="J26">
        <v>44</v>
      </c>
      <c r="K26">
        <v>14</v>
      </c>
      <c r="L26">
        <v>55</v>
      </c>
      <c r="M26">
        <v>1.62</v>
      </c>
      <c r="N26">
        <v>57.5</v>
      </c>
      <c r="O26">
        <v>38.9</v>
      </c>
      <c r="P26">
        <v>18.600000000000001</v>
      </c>
      <c r="Q26">
        <v>0.55000000000000004</v>
      </c>
      <c r="R26" s="1">
        <v>28415</v>
      </c>
      <c r="S26" t="s">
        <v>1070</v>
      </c>
      <c r="T26" t="s">
        <v>893</v>
      </c>
    </row>
    <row r="27" spans="1:20" x14ac:dyDescent="0.2">
      <c r="A27" t="str" cm="1">
        <f t="array" ref="A27">_xlfn.IFS(C27="it ITA", "Serie A", C27="eng ENG", "Premier League", C27="de GER", "Bundesliga", C27="es ESP", "La Liga", C27="fr FRA", "Ligue 1")</f>
        <v>La Liga</v>
      </c>
      <c r="B27" t="s">
        <v>520</v>
      </c>
      <c r="C27" t="s">
        <v>165</v>
      </c>
      <c r="D27">
        <v>5</v>
      </c>
      <c r="E27">
        <v>38</v>
      </c>
      <c r="F27">
        <v>18</v>
      </c>
      <c r="G27">
        <v>7</v>
      </c>
      <c r="H27">
        <v>13</v>
      </c>
      <c r="I27">
        <v>57</v>
      </c>
      <c r="J27">
        <v>50</v>
      </c>
      <c r="K27">
        <v>7</v>
      </c>
      <c r="L27">
        <v>61</v>
      </c>
      <c r="M27">
        <v>1.61</v>
      </c>
      <c r="N27">
        <v>53.3</v>
      </c>
      <c r="O27">
        <v>53.4</v>
      </c>
      <c r="P27">
        <v>-0.1</v>
      </c>
      <c r="Q27">
        <v>0</v>
      </c>
      <c r="R27" s="1">
        <v>16779</v>
      </c>
      <c r="S27" t="s">
        <v>1071</v>
      </c>
      <c r="T27" t="s">
        <v>909</v>
      </c>
    </row>
    <row r="28" spans="1:20" x14ac:dyDescent="0.2">
      <c r="A28" t="str" cm="1">
        <f t="array" ref="A28">_xlfn.IFS(C28="it ITA", "Serie A", C28="eng ENG", "Premier League", C28="de GER", "Bundesliga", C28="es ESP", "La Liga", C28="fr FRA", "Ligue 1")</f>
        <v>Serie A</v>
      </c>
      <c r="B28" t="s">
        <v>43</v>
      </c>
      <c r="C28" t="s">
        <v>147</v>
      </c>
      <c r="D28">
        <v>7</v>
      </c>
      <c r="E28">
        <v>38</v>
      </c>
      <c r="F28">
        <v>16</v>
      </c>
      <c r="G28">
        <v>12</v>
      </c>
      <c r="H28">
        <v>10</v>
      </c>
      <c r="I28">
        <v>57</v>
      </c>
      <c r="J28">
        <v>39</v>
      </c>
      <c r="K28">
        <v>18</v>
      </c>
      <c r="L28">
        <v>60</v>
      </c>
      <c r="M28">
        <v>1.58</v>
      </c>
      <c r="N28">
        <v>64.099999999999994</v>
      </c>
      <c r="O28">
        <v>36.6</v>
      </c>
      <c r="P28">
        <v>27.5</v>
      </c>
      <c r="Q28">
        <v>0.72</v>
      </c>
      <c r="R28" s="1">
        <v>17923</v>
      </c>
      <c r="S28" t="s">
        <v>1072</v>
      </c>
      <c r="T28" t="s">
        <v>1073</v>
      </c>
    </row>
    <row r="29" spans="1:20" x14ac:dyDescent="0.2">
      <c r="A29" t="str" cm="1">
        <f t="array" ref="A29">_xlfn.IFS(C29="it ITA", "Serie A", C29="eng ENG", "Premier League", C29="de GER", "Bundesliga", C29="es ESP", "La Liga", C29="fr FRA", "Ligue 1")</f>
        <v>La Liga</v>
      </c>
      <c r="B29" t="s">
        <v>109</v>
      </c>
      <c r="C29" t="s">
        <v>165</v>
      </c>
      <c r="D29">
        <v>6</v>
      </c>
      <c r="E29">
        <v>38</v>
      </c>
      <c r="F29">
        <v>18</v>
      </c>
      <c r="G29">
        <v>6</v>
      </c>
      <c r="H29">
        <v>14</v>
      </c>
      <c r="I29">
        <v>60</v>
      </c>
      <c r="J29">
        <v>61</v>
      </c>
      <c r="K29">
        <v>-1</v>
      </c>
      <c r="L29">
        <v>60</v>
      </c>
      <c r="M29">
        <v>1.58</v>
      </c>
      <c r="N29">
        <v>46</v>
      </c>
      <c r="O29">
        <v>49</v>
      </c>
      <c r="P29">
        <v>-3.1</v>
      </c>
      <c r="Q29">
        <v>-0.08</v>
      </c>
      <c r="R29" s="1">
        <v>46781</v>
      </c>
      <c r="S29" t="s">
        <v>1074</v>
      </c>
      <c r="T29" t="s">
        <v>1022</v>
      </c>
    </row>
    <row r="30" spans="1:20" x14ac:dyDescent="0.2">
      <c r="A30" t="str" cm="1">
        <f t="array" ref="A30">_xlfn.IFS(C30="it ITA", "Serie A", C30="eng ENG", "Premier League", C30="de GER", "Bundesliga", C30="es ESP", "La Liga", C30="fr FRA", "Ligue 1")</f>
        <v>Bundesliga</v>
      </c>
      <c r="B30" t="s">
        <v>1198</v>
      </c>
      <c r="C30" t="s">
        <v>160</v>
      </c>
      <c r="D30">
        <v>6</v>
      </c>
      <c r="E30">
        <v>34</v>
      </c>
      <c r="F30">
        <v>15</v>
      </c>
      <c r="G30">
        <v>8</v>
      </c>
      <c r="H30">
        <v>11</v>
      </c>
      <c r="I30">
        <v>57</v>
      </c>
      <c r="J30">
        <v>53</v>
      </c>
      <c r="K30">
        <v>4</v>
      </c>
      <c r="L30">
        <v>53</v>
      </c>
      <c r="M30">
        <v>1.56</v>
      </c>
      <c r="N30">
        <v>51.9</v>
      </c>
      <c r="O30">
        <v>46.7</v>
      </c>
      <c r="P30">
        <v>5.2</v>
      </c>
      <c r="Q30">
        <v>0.15</v>
      </c>
      <c r="R30" s="1">
        <v>39397</v>
      </c>
      <c r="S30" t="s">
        <v>1075</v>
      </c>
      <c r="T30" t="s">
        <v>1076</v>
      </c>
    </row>
    <row r="31" spans="1:20" x14ac:dyDescent="0.2">
      <c r="A31" t="str" cm="1">
        <f t="array" ref="A31">_xlfn.IFS(C31="it ITA", "Serie A", C31="eng ENG", "Premier League", C31="de GER", "Bundesliga", C31="es ESP", "La Liga", C31="fr FRA", "Ligue 1")</f>
        <v>Ligue 1</v>
      </c>
      <c r="B31" t="s">
        <v>131</v>
      </c>
      <c r="C31" t="s">
        <v>157</v>
      </c>
      <c r="D31">
        <v>5</v>
      </c>
      <c r="E31">
        <v>38</v>
      </c>
      <c r="F31">
        <v>16</v>
      </c>
      <c r="G31">
        <v>10</v>
      </c>
      <c r="H31">
        <v>12</v>
      </c>
      <c r="I31">
        <v>50</v>
      </c>
      <c r="J31">
        <v>44</v>
      </c>
      <c r="K31">
        <v>6</v>
      </c>
      <c r="L31">
        <v>58</v>
      </c>
      <c r="M31">
        <v>1.53</v>
      </c>
      <c r="N31">
        <v>49.8</v>
      </c>
      <c r="O31">
        <v>49.3</v>
      </c>
      <c r="P31">
        <v>0.5</v>
      </c>
      <c r="Q31">
        <v>0.01</v>
      </c>
      <c r="R31" s="1">
        <v>23111</v>
      </c>
      <c r="S31" t="s">
        <v>1077</v>
      </c>
      <c r="T31" t="s">
        <v>1078</v>
      </c>
    </row>
    <row r="32" spans="1:20" x14ac:dyDescent="0.2">
      <c r="A32" t="str" cm="1">
        <f t="array" ref="A32">_xlfn.IFS(C32="it ITA", "Serie A", C32="eng ENG", "Premier League", C32="de GER", "Bundesliga", C32="es ESP", "La Liga", C32="fr FRA", "Ligue 1")</f>
        <v>La Liga</v>
      </c>
      <c r="B32" t="s">
        <v>27</v>
      </c>
      <c r="C32" t="s">
        <v>165</v>
      </c>
      <c r="D32">
        <v>7</v>
      </c>
      <c r="E32">
        <v>38</v>
      </c>
      <c r="F32">
        <v>17</v>
      </c>
      <c r="G32">
        <v>7</v>
      </c>
      <c r="H32">
        <v>14</v>
      </c>
      <c r="I32">
        <v>49</v>
      </c>
      <c r="J32">
        <v>58</v>
      </c>
      <c r="K32">
        <v>-9</v>
      </c>
      <c r="L32">
        <v>58</v>
      </c>
      <c r="M32">
        <v>1.53</v>
      </c>
      <c r="N32">
        <v>59.5</v>
      </c>
      <c r="O32">
        <v>54.4</v>
      </c>
      <c r="P32">
        <v>5.2</v>
      </c>
      <c r="Q32">
        <v>0.14000000000000001</v>
      </c>
      <c r="R32" s="1">
        <v>33006</v>
      </c>
      <c r="S32" t="s">
        <v>1079</v>
      </c>
      <c r="T32" t="s">
        <v>1080</v>
      </c>
    </row>
    <row r="33" spans="1:20" x14ac:dyDescent="0.2">
      <c r="A33" t="str" cm="1">
        <f t="array" ref="A33">_xlfn.IFS(C33="it ITA", "Serie A", C33="eng ENG", "Premier League", C33="de GER", "Bundesliga", C33="es ESP", "La Liga", C33="fr FRA", "Ligue 1")</f>
        <v>Serie A</v>
      </c>
      <c r="B33" t="s">
        <v>123</v>
      </c>
      <c r="C33" t="s">
        <v>147</v>
      </c>
      <c r="D33">
        <v>8</v>
      </c>
      <c r="E33">
        <v>38</v>
      </c>
      <c r="F33">
        <v>16</v>
      </c>
      <c r="G33">
        <v>9</v>
      </c>
      <c r="H33">
        <v>13</v>
      </c>
      <c r="I33">
        <v>54</v>
      </c>
      <c r="J33">
        <v>46</v>
      </c>
      <c r="K33">
        <v>8</v>
      </c>
      <c r="L33">
        <v>57</v>
      </c>
      <c r="M33">
        <v>1.5</v>
      </c>
      <c r="N33">
        <v>54.5</v>
      </c>
      <c r="O33">
        <v>40.799999999999997</v>
      </c>
      <c r="P33">
        <v>13.7</v>
      </c>
      <c r="Q33">
        <v>0.36</v>
      </c>
      <c r="R33" s="1">
        <v>26092</v>
      </c>
      <c r="S33" t="s">
        <v>1081</v>
      </c>
      <c r="T33" t="s">
        <v>1082</v>
      </c>
    </row>
    <row r="34" spans="1:20" x14ac:dyDescent="0.2">
      <c r="A34" t="str" cm="1">
        <f t="array" ref="A34">_xlfn.IFS(C34="it ITA", "Serie A", C34="eng ENG", "Premier League", C34="de GER", "Bundesliga", C34="es ESP", "La Liga", C34="fr FRA", "Ligue 1")</f>
        <v>Bundesliga</v>
      </c>
      <c r="B34" t="s">
        <v>81</v>
      </c>
      <c r="C34" t="s">
        <v>160</v>
      </c>
      <c r="D34">
        <v>7</v>
      </c>
      <c r="E34">
        <v>34</v>
      </c>
      <c r="F34">
        <v>15</v>
      </c>
      <c r="G34">
        <v>6</v>
      </c>
      <c r="H34">
        <v>13</v>
      </c>
      <c r="I34">
        <v>36</v>
      </c>
      <c r="J34">
        <v>36</v>
      </c>
      <c r="K34">
        <v>0</v>
      </c>
      <c r="L34">
        <v>51</v>
      </c>
      <c r="M34">
        <v>1.5</v>
      </c>
      <c r="N34">
        <v>40.299999999999997</v>
      </c>
      <c r="O34">
        <v>43.5</v>
      </c>
      <c r="P34">
        <v>-3.1</v>
      </c>
      <c r="Q34">
        <v>-0.09</v>
      </c>
      <c r="R34" s="1">
        <v>56366</v>
      </c>
      <c r="S34" t="s">
        <v>1083</v>
      </c>
      <c r="T34" t="s">
        <v>942</v>
      </c>
    </row>
    <row r="35" spans="1:20" x14ac:dyDescent="0.2">
      <c r="A35" t="str" cm="1">
        <f t="array" ref="A35">_xlfn.IFS(C35="it ITA", "Serie A", C35="eng ENG", "Premier League", C35="de GER", "Bundesliga", C35="es ESP", "La Liga", C35="fr FRA", "Ligue 1")</f>
        <v>La Liga</v>
      </c>
      <c r="B35" t="s">
        <v>681</v>
      </c>
      <c r="C35" t="s">
        <v>165</v>
      </c>
      <c r="D35">
        <v>8</v>
      </c>
      <c r="E35">
        <v>38</v>
      </c>
      <c r="F35">
        <v>15</v>
      </c>
      <c r="G35">
        <v>10</v>
      </c>
      <c r="H35">
        <v>13</v>
      </c>
      <c r="I35">
        <v>42</v>
      </c>
      <c r="J35">
        <v>33</v>
      </c>
      <c r="K35">
        <v>9</v>
      </c>
      <c r="L35">
        <v>55</v>
      </c>
      <c r="M35">
        <v>1.45</v>
      </c>
      <c r="N35">
        <v>48.2</v>
      </c>
      <c r="O35">
        <v>39.700000000000003</v>
      </c>
      <c r="P35">
        <v>8.5</v>
      </c>
      <c r="Q35">
        <v>0.22</v>
      </c>
      <c r="R35" s="1">
        <v>10428</v>
      </c>
      <c r="S35" t="s">
        <v>1084</v>
      </c>
      <c r="T35" t="s">
        <v>1085</v>
      </c>
    </row>
    <row r="36" spans="1:20" x14ac:dyDescent="0.2">
      <c r="A36" t="str" cm="1">
        <f t="array" ref="A36">_xlfn.IFS(C36="it ITA", "Serie A", C36="eng ENG", "Premier League", C36="de GER", "Bundesliga", C36="es ESP", "La Liga", C36="fr FRA", "Ligue 1")</f>
        <v>Ligue 1</v>
      </c>
      <c r="B36" t="s">
        <v>85</v>
      </c>
      <c r="C36" t="s">
        <v>157</v>
      </c>
      <c r="D36">
        <v>6</v>
      </c>
      <c r="E36">
        <v>38</v>
      </c>
      <c r="F36">
        <v>16</v>
      </c>
      <c r="G36">
        <v>7</v>
      </c>
      <c r="H36">
        <v>15</v>
      </c>
      <c r="I36">
        <v>53</v>
      </c>
      <c r="J36">
        <v>48</v>
      </c>
      <c r="K36">
        <v>5</v>
      </c>
      <c r="L36">
        <v>55</v>
      </c>
      <c r="M36">
        <v>1.45</v>
      </c>
      <c r="N36">
        <v>51</v>
      </c>
      <c r="O36">
        <v>43.6</v>
      </c>
      <c r="P36">
        <v>7.5</v>
      </c>
      <c r="Q36">
        <v>0.2</v>
      </c>
      <c r="R36" s="1">
        <v>26048</v>
      </c>
      <c r="S36" t="s">
        <v>1086</v>
      </c>
      <c r="T36" t="s">
        <v>944</v>
      </c>
    </row>
    <row r="37" spans="1:20" x14ac:dyDescent="0.2">
      <c r="A37" t="str" cm="1">
        <f t="array" ref="A37">_xlfn.IFS(C37="it ITA", "Serie A", C37="eng ENG", "Premier League", C37="de GER", "Bundesliga", C37="es ESP", "La Liga", C37="fr FRA", "Ligue 1")</f>
        <v>Ligue 1</v>
      </c>
      <c r="B37" t="s">
        <v>92</v>
      </c>
      <c r="C37" t="s">
        <v>157</v>
      </c>
      <c r="D37">
        <v>7</v>
      </c>
      <c r="E37">
        <v>38</v>
      </c>
      <c r="F37">
        <v>15</v>
      </c>
      <c r="G37">
        <v>10</v>
      </c>
      <c r="H37">
        <v>13</v>
      </c>
      <c r="I37">
        <v>47</v>
      </c>
      <c r="J37">
        <v>50</v>
      </c>
      <c r="K37">
        <v>-3</v>
      </c>
      <c r="L37">
        <v>55</v>
      </c>
      <c r="M37">
        <v>1.45</v>
      </c>
      <c r="N37">
        <v>51</v>
      </c>
      <c r="O37">
        <v>54.1</v>
      </c>
      <c r="P37">
        <v>-3.1</v>
      </c>
      <c r="Q37">
        <v>-0.08</v>
      </c>
      <c r="R37" s="1">
        <v>27563</v>
      </c>
      <c r="S37" t="s">
        <v>1087</v>
      </c>
      <c r="T37" t="s">
        <v>755</v>
      </c>
    </row>
    <row r="38" spans="1:20" x14ac:dyDescent="0.2">
      <c r="A38" t="str" cm="1">
        <f t="array" ref="A38">_xlfn.IFS(C38="it ITA", "Serie A", C38="eng ENG", "Premier League", C38="de GER", "Bundesliga", C38="es ESP", "La Liga", C38="fr FRA", "Ligue 1")</f>
        <v>Bundesliga</v>
      </c>
      <c r="B38" t="s">
        <v>691</v>
      </c>
      <c r="C38" t="s">
        <v>160</v>
      </c>
      <c r="D38">
        <v>8</v>
      </c>
      <c r="E38">
        <v>34</v>
      </c>
      <c r="F38">
        <v>14</v>
      </c>
      <c r="G38">
        <v>7</v>
      </c>
      <c r="H38">
        <v>13</v>
      </c>
      <c r="I38">
        <v>45</v>
      </c>
      <c r="J38">
        <v>45</v>
      </c>
      <c r="K38">
        <v>0</v>
      </c>
      <c r="L38">
        <v>49</v>
      </c>
      <c r="M38">
        <v>1.44</v>
      </c>
      <c r="N38">
        <v>42.2</v>
      </c>
      <c r="O38">
        <v>41.7</v>
      </c>
      <c r="P38">
        <v>0.5</v>
      </c>
      <c r="Q38">
        <v>0.01</v>
      </c>
      <c r="R38" s="1">
        <v>49159</v>
      </c>
      <c r="S38" t="s">
        <v>1088</v>
      </c>
      <c r="T38" t="s">
        <v>1089</v>
      </c>
    </row>
    <row r="39" spans="1:20" x14ac:dyDescent="0.2">
      <c r="A39" t="str" cm="1">
        <f t="array" ref="A39">_xlfn.IFS(C39="it ITA", "Serie A", C39="eng ENG", "Premier League", C39="de GER", "Bundesliga", C39="es ESP", "La Liga", C39="fr FRA", "Ligue 1")</f>
        <v>Serie A</v>
      </c>
      <c r="B39" t="s">
        <v>59</v>
      </c>
      <c r="C39" t="s">
        <v>147</v>
      </c>
      <c r="D39">
        <v>9</v>
      </c>
      <c r="E39">
        <v>38</v>
      </c>
      <c r="F39">
        <v>13</v>
      </c>
      <c r="G39">
        <v>15</v>
      </c>
      <c r="H39">
        <v>10</v>
      </c>
      <c r="I39">
        <v>54</v>
      </c>
      <c r="J39">
        <v>46</v>
      </c>
      <c r="K39">
        <v>8</v>
      </c>
      <c r="L39">
        <v>54</v>
      </c>
      <c r="M39">
        <v>1.42</v>
      </c>
      <c r="N39">
        <v>46</v>
      </c>
      <c r="O39">
        <v>47</v>
      </c>
      <c r="P39">
        <v>-1</v>
      </c>
      <c r="Q39">
        <v>-0.03</v>
      </c>
      <c r="R39" s="1">
        <v>18375</v>
      </c>
      <c r="S39" t="s">
        <v>1090</v>
      </c>
      <c r="T39" t="s">
        <v>732</v>
      </c>
    </row>
    <row r="40" spans="1:20" x14ac:dyDescent="0.2">
      <c r="A40" t="str" cm="1">
        <f t="array" ref="A40">_xlfn.IFS(C40="it ITA", "Serie A", C40="eng ENG", "Premier League", C40="de GER", "Bundesliga", C40="es ESP", "La Liga", C40="fr FRA", "Ligue 1")</f>
        <v>Ligue 1</v>
      </c>
      <c r="B40" t="s">
        <v>680</v>
      </c>
      <c r="C40" t="s">
        <v>157</v>
      </c>
      <c r="D40">
        <v>8</v>
      </c>
      <c r="E40">
        <v>38</v>
      </c>
      <c r="F40">
        <v>15</v>
      </c>
      <c r="G40">
        <v>9</v>
      </c>
      <c r="H40">
        <v>14</v>
      </c>
      <c r="I40">
        <v>53</v>
      </c>
      <c r="J40">
        <v>52</v>
      </c>
      <c r="K40">
        <v>1</v>
      </c>
      <c r="L40">
        <v>54</v>
      </c>
      <c r="M40">
        <v>1.42</v>
      </c>
      <c r="N40">
        <v>49.2</v>
      </c>
      <c r="O40">
        <v>49.5</v>
      </c>
      <c r="P40">
        <v>-0.3</v>
      </c>
      <c r="Q40">
        <v>-0.01</v>
      </c>
      <c r="R40" s="1">
        <v>22876</v>
      </c>
      <c r="S40" t="s">
        <v>1091</v>
      </c>
      <c r="T40" t="s">
        <v>1092</v>
      </c>
    </row>
    <row r="41" spans="1:20" x14ac:dyDescent="0.2">
      <c r="A41" t="str" cm="1">
        <f t="array" ref="A41">_xlfn.IFS(C41="it ITA", "Serie A", C41="eng ENG", "Premier League", C41="de GER", "Bundesliga", C41="es ESP", "La Liga", C41="fr FRA", "Ligue 1")</f>
        <v>Premier League</v>
      </c>
      <c r="B41" t="s">
        <v>863</v>
      </c>
      <c r="C41" t="s">
        <v>150</v>
      </c>
      <c r="D41">
        <v>7</v>
      </c>
      <c r="E41">
        <v>38</v>
      </c>
      <c r="F41">
        <v>14</v>
      </c>
      <c r="G41">
        <v>12</v>
      </c>
      <c r="H41">
        <v>12</v>
      </c>
      <c r="I41">
        <v>36</v>
      </c>
      <c r="J41">
        <v>39</v>
      </c>
      <c r="K41">
        <v>-3</v>
      </c>
      <c r="L41">
        <v>54</v>
      </c>
      <c r="M41">
        <v>1.42</v>
      </c>
      <c r="N41">
        <v>32.299999999999997</v>
      </c>
      <c r="O41">
        <v>51.2</v>
      </c>
      <c r="P41">
        <v>-18.899999999999999</v>
      </c>
      <c r="Q41">
        <v>-0.5</v>
      </c>
      <c r="R41" s="1">
        <v>20688</v>
      </c>
      <c r="S41" t="s">
        <v>1093</v>
      </c>
      <c r="T41" t="s">
        <v>1094</v>
      </c>
    </row>
    <row r="42" spans="1:20" x14ac:dyDescent="0.2">
      <c r="A42" t="str" cm="1">
        <f t="array" ref="A42">_xlfn.IFS(C42="it ITA", "Serie A", C42="eng ENG", "Premier League", C42="de GER", "Bundesliga", C42="es ESP", "La Liga", C42="fr FRA", "Ligue 1")</f>
        <v>Serie A</v>
      </c>
      <c r="B42" t="s">
        <v>58</v>
      </c>
      <c r="C42" t="s">
        <v>147</v>
      </c>
      <c r="D42">
        <v>10</v>
      </c>
      <c r="E42">
        <v>38</v>
      </c>
      <c r="F42">
        <v>16</v>
      </c>
      <c r="G42">
        <v>6</v>
      </c>
      <c r="H42">
        <v>16</v>
      </c>
      <c r="I42">
        <v>56</v>
      </c>
      <c r="J42">
        <v>60</v>
      </c>
      <c r="K42">
        <v>-4</v>
      </c>
      <c r="L42">
        <v>54</v>
      </c>
      <c r="M42">
        <v>1.42</v>
      </c>
      <c r="N42">
        <v>53.5</v>
      </c>
      <c r="O42">
        <v>60.3</v>
      </c>
      <c r="P42">
        <v>-6.8</v>
      </c>
      <c r="Q42">
        <v>-0.18</v>
      </c>
      <c r="R42" s="1">
        <v>20065</v>
      </c>
      <c r="S42" t="s">
        <v>1095</v>
      </c>
      <c r="T42" t="s">
        <v>806</v>
      </c>
    </row>
    <row r="43" spans="1:20" x14ac:dyDescent="0.2">
      <c r="A43" t="str" cm="1">
        <f t="array" ref="A43">_xlfn.IFS(C43="it ITA", "Serie A", C43="eng ENG", "Premier League", C43="de GER", "Bundesliga", C43="es ESP", "La Liga", C43="fr FRA", "Ligue 1")</f>
        <v>Bundesliga</v>
      </c>
      <c r="B43" t="s">
        <v>353</v>
      </c>
      <c r="C43" t="s">
        <v>160</v>
      </c>
      <c r="D43">
        <v>9</v>
      </c>
      <c r="E43">
        <v>34</v>
      </c>
      <c r="F43">
        <v>13</v>
      </c>
      <c r="G43">
        <v>8</v>
      </c>
      <c r="H43">
        <v>13</v>
      </c>
      <c r="I43">
        <v>47</v>
      </c>
      <c r="J43">
        <v>52</v>
      </c>
      <c r="K43">
        <v>-5</v>
      </c>
      <c r="L43">
        <v>47</v>
      </c>
      <c r="M43">
        <v>1.38</v>
      </c>
      <c r="N43">
        <v>51.1</v>
      </c>
      <c r="O43">
        <v>52</v>
      </c>
      <c r="P43">
        <v>-0.8</v>
      </c>
      <c r="Q43">
        <v>-0.02</v>
      </c>
      <c r="R43" s="1">
        <v>50986</v>
      </c>
      <c r="S43" t="s">
        <v>1096</v>
      </c>
      <c r="T43" t="s">
        <v>1097</v>
      </c>
    </row>
    <row r="44" spans="1:20" x14ac:dyDescent="0.2">
      <c r="A44" t="str" cm="1">
        <f t="array" ref="A44">_xlfn.IFS(C44="it ITA", "Serie A", C44="eng ENG", "Premier League", C44="de GER", "Bundesliga", C44="es ESP", "La Liga", C44="fr FRA", "Ligue 1")</f>
        <v>Ligue 1</v>
      </c>
      <c r="B44" t="s">
        <v>86</v>
      </c>
      <c r="C44" t="s">
        <v>157</v>
      </c>
      <c r="D44">
        <v>9</v>
      </c>
      <c r="E44">
        <v>38</v>
      </c>
      <c r="F44">
        <v>14</v>
      </c>
      <c r="G44">
        <v>10</v>
      </c>
      <c r="H44">
        <v>14</v>
      </c>
      <c r="I44">
        <v>36</v>
      </c>
      <c r="J44">
        <v>41</v>
      </c>
      <c r="K44">
        <v>-5</v>
      </c>
      <c r="L44">
        <v>52</v>
      </c>
      <c r="M44">
        <v>1.37</v>
      </c>
      <c r="N44">
        <v>41.8</v>
      </c>
      <c r="O44">
        <v>38.1</v>
      </c>
      <c r="P44">
        <v>3.7</v>
      </c>
      <c r="Q44">
        <v>0.1</v>
      </c>
      <c r="R44" s="1">
        <v>24559</v>
      </c>
      <c r="S44" t="s">
        <v>1098</v>
      </c>
      <c r="T44" t="s">
        <v>1099</v>
      </c>
    </row>
    <row r="45" spans="1:20" x14ac:dyDescent="0.2">
      <c r="A45" t="str" cm="1">
        <f t="array" ref="A45">_xlfn.IFS(C45="it ITA", "Serie A", C45="eng ENG", "Premier League", C45="de GER", "Bundesliga", C45="es ESP", "La Liga", C45="fr FRA", "Ligue 1")</f>
        <v>Ligue 1</v>
      </c>
      <c r="B45" t="s">
        <v>88</v>
      </c>
      <c r="C45" t="s">
        <v>157</v>
      </c>
      <c r="D45">
        <v>10</v>
      </c>
      <c r="E45">
        <v>38</v>
      </c>
      <c r="F45">
        <v>11</v>
      </c>
      <c r="G45">
        <v>18</v>
      </c>
      <c r="H45">
        <v>9</v>
      </c>
      <c r="I45">
        <v>36</v>
      </c>
      <c r="J45">
        <v>33</v>
      </c>
      <c r="K45">
        <v>3</v>
      </c>
      <c r="L45">
        <v>51</v>
      </c>
      <c r="M45">
        <v>1.34</v>
      </c>
      <c r="N45">
        <v>42.6</v>
      </c>
      <c r="O45">
        <v>39</v>
      </c>
      <c r="P45">
        <v>3.6</v>
      </c>
      <c r="Q45">
        <v>0.1</v>
      </c>
      <c r="R45" s="1">
        <v>13458</v>
      </c>
      <c r="S45" t="s">
        <v>1100</v>
      </c>
      <c r="T45" t="s">
        <v>1101</v>
      </c>
    </row>
    <row r="46" spans="1:20" x14ac:dyDescent="0.2">
      <c r="A46" t="str" cm="1">
        <f t="array" ref="A46">_xlfn.IFS(C46="it ITA", "Serie A", C46="eng ENG", "Premier League", C46="de GER", "Bundesliga", C46="es ESP", "La Liga", C46="fr FRA", "Ligue 1")</f>
        <v>La Liga</v>
      </c>
      <c r="B46" t="s">
        <v>1199</v>
      </c>
      <c r="C46" t="s">
        <v>165</v>
      </c>
      <c r="D46">
        <v>9</v>
      </c>
      <c r="E46">
        <v>38</v>
      </c>
      <c r="F46">
        <v>14</v>
      </c>
      <c r="G46">
        <v>9</v>
      </c>
      <c r="H46">
        <v>15</v>
      </c>
      <c r="I46">
        <v>44</v>
      </c>
      <c r="J46">
        <v>50</v>
      </c>
      <c r="K46">
        <v>-6</v>
      </c>
      <c r="L46">
        <v>51</v>
      </c>
      <c r="M46">
        <v>1.34</v>
      </c>
      <c r="N46">
        <v>40.9</v>
      </c>
      <c r="O46">
        <v>44.4</v>
      </c>
      <c r="P46">
        <v>-3.5</v>
      </c>
      <c r="Q46">
        <v>-0.09</v>
      </c>
      <c r="R46" s="1">
        <v>5338</v>
      </c>
      <c r="S46" t="s">
        <v>1102</v>
      </c>
      <c r="T46" t="s">
        <v>1103</v>
      </c>
    </row>
    <row r="47" spans="1:20" x14ac:dyDescent="0.2">
      <c r="A47" t="str" cm="1">
        <f t="array" ref="A47">_xlfn.IFS(C47="it ITA", "Serie A", C47="eng ENG", "Premier League", C47="de GER", "Bundesliga", C47="es ESP", "La Liga", C47="fr FRA", "Ligue 1")</f>
        <v>La Liga</v>
      </c>
      <c r="B47" t="s">
        <v>1200</v>
      </c>
      <c r="C47" t="s">
        <v>165</v>
      </c>
      <c r="D47">
        <v>10</v>
      </c>
      <c r="E47">
        <v>38</v>
      </c>
      <c r="F47">
        <v>14</v>
      </c>
      <c r="G47">
        <v>9</v>
      </c>
      <c r="H47">
        <v>15</v>
      </c>
      <c r="I47">
        <v>50</v>
      </c>
      <c r="J47">
        <v>59</v>
      </c>
      <c r="K47">
        <v>-9</v>
      </c>
      <c r="L47">
        <v>51</v>
      </c>
      <c r="M47">
        <v>1.34</v>
      </c>
      <c r="N47">
        <v>50.6</v>
      </c>
      <c r="O47">
        <v>50.4</v>
      </c>
      <c r="P47">
        <v>0.2</v>
      </c>
      <c r="Q47">
        <v>0.01</v>
      </c>
      <c r="R47" s="1">
        <v>10424</v>
      </c>
      <c r="S47" t="s">
        <v>1104</v>
      </c>
      <c r="T47" t="s">
        <v>1105</v>
      </c>
    </row>
    <row r="48" spans="1:20" x14ac:dyDescent="0.2">
      <c r="A48" t="str" cm="1">
        <f t="array" ref="A48">_xlfn.IFS(C48="it ITA", "Serie A", C48="eng ENG", "Premier League", C48="de GER", "Bundesliga", C48="es ESP", "La Liga", C48="fr FRA", "Ligue 1")</f>
        <v>La Liga</v>
      </c>
      <c r="B48" t="s">
        <v>32</v>
      </c>
      <c r="C48" t="s">
        <v>165</v>
      </c>
      <c r="D48">
        <v>12</v>
      </c>
      <c r="E48">
        <v>38</v>
      </c>
      <c r="F48">
        <v>14</v>
      </c>
      <c r="G48">
        <v>7</v>
      </c>
      <c r="H48">
        <v>17</v>
      </c>
      <c r="I48">
        <v>66</v>
      </c>
      <c r="J48">
        <v>59</v>
      </c>
      <c r="K48">
        <v>7</v>
      </c>
      <c r="L48">
        <v>49</v>
      </c>
      <c r="M48">
        <v>1.29</v>
      </c>
      <c r="N48">
        <v>53.7</v>
      </c>
      <c r="O48">
        <v>50.5</v>
      </c>
      <c r="P48">
        <v>3.1</v>
      </c>
      <c r="Q48">
        <v>0.08</v>
      </c>
      <c r="R48" s="1">
        <v>19793</v>
      </c>
      <c r="S48" t="s">
        <v>1106</v>
      </c>
      <c r="T48" t="s">
        <v>1107</v>
      </c>
    </row>
    <row r="49" spans="1:20" x14ac:dyDescent="0.2">
      <c r="A49" t="str" cm="1">
        <f t="array" ref="A49">_xlfn.IFS(C49="it ITA", "Serie A", C49="eng ENG", "Premier League", C49="de GER", "Bundesliga", C49="es ESP", "La Liga", C49="fr FRA", "Ligue 1")</f>
        <v>La Liga</v>
      </c>
      <c r="B49" t="s">
        <v>110</v>
      </c>
      <c r="C49" t="s">
        <v>165</v>
      </c>
      <c r="D49">
        <v>13</v>
      </c>
      <c r="E49">
        <v>38</v>
      </c>
      <c r="F49">
        <v>13</v>
      </c>
      <c r="G49">
        <v>10</v>
      </c>
      <c r="H49">
        <v>15</v>
      </c>
      <c r="I49">
        <v>59</v>
      </c>
      <c r="J49">
        <v>60</v>
      </c>
      <c r="K49">
        <v>-1</v>
      </c>
      <c r="L49">
        <v>49</v>
      </c>
      <c r="M49">
        <v>1.29</v>
      </c>
      <c r="N49">
        <v>55</v>
      </c>
      <c r="O49">
        <v>55.3</v>
      </c>
      <c r="P49">
        <v>-0.3</v>
      </c>
      <c r="Q49">
        <v>-0.01</v>
      </c>
      <c r="R49" s="1">
        <v>16195</v>
      </c>
      <c r="S49" t="s">
        <v>1108</v>
      </c>
      <c r="T49" t="s">
        <v>1109</v>
      </c>
    </row>
    <row r="50" spans="1:20" x14ac:dyDescent="0.2">
      <c r="A50" t="str" cm="1">
        <f t="array" ref="A50">_xlfn.IFS(C50="it ITA", "Serie A", C50="eng ENG", "Premier League", C50="de GER", "Bundesliga", C50="es ESP", "La Liga", C50="fr FRA", "Ligue 1")</f>
        <v>La Liga</v>
      </c>
      <c r="B50" t="s">
        <v>112</v>
      </c>
      <c r="C50" t="s">
        <v>165</v>
      </c>
      <c r="D50">
        <v>11</v>
      </c>
      <c r="E50">
        <v>38</v>
      </c>
      <c r="F50">
        <v>12</v>
      </c>
      <c r="G50">
        <v>13</v>
      </c>
      <c r="H50">
        <v>13</v>
      </c>
      <c r="I50">
        <v>36</v>
      </c>
      <c r="J50">
        <v>42</v>
      </c>
      <c r="K50">
        <v>-6</v>
      </c>
      <c r="L50">
        <v>49</v>
      </c>
      <c r="M50">
        <v>1.29</v>
      </c>
      <c r="N50">
        <v>41.1</v>
      </c>
      <c r="O50">
        <v>52.3</v>
      </c>
      <c r="P50">
        <v>-11.1</v>
      </c>
      <c r="Q50">
        <v>-0.28999999999999998</v>
      </c>
      <c r="R50" s="1">
        <v>17882</v>
      </c>
      <c r="S50" t="s">
        <v>1110</v>
      </c>
      <c r="T50" t="s">
        <v>1111</v>
      </c>
    </row>
    <row r="51" spans="1:20" x14ac:dyDescent="0.2">
      <c r="A51" t="str" cm="1">
        <f t="array" ref="A51">_xlfn.IFS(C51="it ITA", "Serie A", C51="eng ENG", "Premier League", C51="de GER", "Bundesliga", C51="es ESP", "La Liga", C51="fr FRA", "Ligue 1")</f>
        <v>Premier League</v>
      </c>
      <c r="B51" t="s">
        <v>6</v>
      </c>
      <c r="C51" t="s">
        <v>150</v>
      </c>
      <c r="D51">
        <v>8</v>
      </c>
      <c r="E51">
        <v>38</v>
      </c>
      <c r="F51">
        <v>13</v>
      </c>
      <c r="G51">
        <v>10</v>
      </c>
      <c r="H51">
        <v>15</v>
      </c>
      <c r="I51">
        <v>44</v>
      </c>
      <c r="J51">
        <v>58</v>
      </c>
      <c r="K51">
        <v>-14</v>
      </c>
      <c r="L51">
        <v>49</v>
      </c>
      <c r="M51">
        <v>1.29</v>
      </c>
      <c r="N51">
        <v>40.5</v>
      </c>
      <c r="O51">
        <v>52.4</v>
      </c>
      <c r="P51">
        <v>-11.9</v>
      </c>
      <c r="Q51">
        <v>-0.31</v>
      </c>
      <c r="R51" s="1">
        <v>38797</v>
      </c>
      <c r="S51" t="s">
        <v>1112</v>
      </c>
      <c r="T51" t="s">
        <v>1113</v>
      </c>
    </row>
    <row r="52" spans="1:20" x14ac:dyDescent="0.2">
      <c r="A52" t="str" cm="1">
        <f t="array" ref="A52">_xlfn.IFS(C52="it ITA", "Serie A", C52="eng ENG", "Premier League", C52="de GER", "Bundesliga", C52="es ESP", "La Liga", C52="fr FRA", "Ligue 1")</f>
        <v>Bundesliga</v>
      </c>
      <c r="B52" t="s">
        <v>126</v>
      </c>
      <c r="C52" t="s">
        <v>160</v>
      </c>
      <c r="D52">
        <v>10</v>
      </c>
      <c r="E52">
        <v>34</v>
      </c>
      <c r="F52">
        <v>10</v>
      </c>
      <c r="G52">
        <v>13</v>
      </c>
      <c r="H52">
        <v>11</v>
      </c>
      <c r="I52">
        <v>43</v>
      </c>
      <c r="J52">
        <v>46</v>
      </c>
      <c r="K52">
        <v>-3</v>
      </c>
      <c r="L52">
        <v>43</v>
      </c>
      <c r="M52">
        <v>1.26</v>
      </c>
      <c r="N52">
        <v>39.200000000000003</v>
      </c>
      <c r="O52">
        <v>44.3</v>
      </c>
      <c r="P52">
        <v>-5.0999999999999996</v>
      </c>
      <c r="Q52">
        <v>-0.15</v>
      </c>
      <c r="R52" s="1">
        <v>45319</v>
      </c>
      <c r="S52" t="s">
        <v>1114</v>
      </c>
      <c r="T52" t="s">
        <v>1115</v>
      </c>
    </row>
    <row r="53" spans="1:20" x14ac:dyDescent="0.2">
      <c r="A53" t="str" cm="1">
        <f t="array" ref="A53">_xlfn.IFS(C53="it ITA", "Serie A", C53="eng ENG", "Premier League", C53="de GER", "Bundesliga", C53="es ESP", "La Liga", C53="fr FRA", "Ligue 1")</f>
        <v>Ligue 1</v>
      </c>
      <c r="B53" t="s">
        <v>1201</v>
      </c>
      <c r="C53" t="s">
        <v>157</v>
      </c>
      <c r="D53">
        <v>11</v>
      </c>
      <c r="E53">
        <v>38</v>
      </c>
      <c r="F53">
        <v>13</v>
      </c>
      <c r="G53">
        <v>9</v>
      </c>
      <c r="H53">
        <v>16</v>
      </c>
      <c r="I53">
        <v>55</v>
      </c>
      <c r="J53">
        <v>73</v>
      </c>
      <c r="K53">
        <v>-18</v>
      </c>
      <c r="L53">
        <v>48</v>
      </c>
      <c r="M53">
        <v>1.26</v>
      </c>
      <c r="N53">
        <v>41.6</v>
      </c>
      <c r="O53">
        <v>63.8</v>
      </c>
      <c r="P53">
        <v>-22.2</v>
      </c>
      <c r="Q53">
        <v>-0.57999999999999996</v>
      </c>
      <c r="R53" s="1">
        <v>12228</v>
      </c>
      <c r="S53" t="s">
        <v>1116</v>
      </c>
      <c r="T53" t="s">
        <v>1117</v>
      </c>
    </row>
    <row r="54" spans="1:20" x14ac:dyDescent="0.2">
      <c r="A54" t="str" cm="1">
        <f t="array" ref="A54">_xlfn.IFS(C54="it ITA", "Serie A", C54="eng ENG", "Premier League", C54="de GER", "Bundesliga", C54="es ESP", "La Liga", C54="fr FRA", "Ligue 1")</f>
        <v>Bundesliga</v>
      </c>
      <c r="B54" t="s">
        <v>84</v>
      </c>
      <c r="C54" t="s">
        <v>160</v>
      </c>
      <c r="D54">
        <v>11</v>
      </c>
      <c r="E54">
        <v>34</v>
      </c>
      <c r="F54">
        <v>10</v>
      </c>
      <c r="G54">
        <v>12</v>
      </c>
      <c r="H54">
        <v>12</v>
      </c>
      <c r="I54">
        <v>37</v>
      </c>
      <c r="J54">
        <v>40</v>
      </c>
      <c r="K54">
        <v>-3</v>
      </c>
      <c r="L54">
        <v>42</v>
      </c>
      <c r="M54">
        <v>1.24</v>
      </c>
      <c r="N54">
        <v>38.9</v>
      </c>
      <c r="O54">
        <v>45.1</v>
      </c>
      <c r="P54">
        <v>-6.2</v>
      </c>
      <c r="Q54">
        <v>-0.18</v>
      </c>
      <c r="R54" s="1">
        <v>40870</v>
      </c>
      <c r="S54" t="s">
        <v>1118</v>
      </c>
      <c r="T54" t="s">
        <v>1119</v>
      </c>
    </row>
    <row r="55" spans="1:20" x14ac:dyDescent="0.2">
      <c r="A55" t="str" cm="1">
        <f t="array" ref="A55">_xlfn.IFS(C55="it ITA", "Serie A", C55="eng ENG", "Premier League", C55="de GER", "Bundesliga", C55="es ESP", "La Liga", C55="fr FRA", "Ligue 1")</f>
        <v>Premier League</v>
      </c>
      <c r="B55" t="s">
        <v>108</v>
      </c>
      <c r="C55" t="s">
        <v>150</v>
      </c>
      <c r="D55">
        <v>9</v>
      </c>
      <c r="E55">
        <v>38</v>
      </c>
      <c r="F55">
        <v>12</v>
      </c>
      <c r="G55">
        <v>11</v>
      </c>
      <c r="H55">
        <v>15</v>
      </c>
      <c r="I55">
        <v>56</v>
      </c>
      <c r="J55">
        <v>60</v>
      </c>
      <c r="K55">
        <v>-4</v>
      </c>
      <c r="L55">
        <v>47</v>
      </c>
      <c r="M55">
        <v>1.24</v>
      </c>
      <c r="N55">
        <v>50</v>
      </c>
      <c r="O55">
        <v>48.1</v>
      </c>
      <c r="P55">
        <v>1.9</v>
      </c>
      <c r="Q55">
        <v>0.05</v>
      </c>
      <c r="R55" s="1">
        <v>31583</v>
      </c>
      <c r="S55" t="s">
        <v>1120</v>
      </c>
      <c r="T55" t="s">
        <v>1121</v>
      </c>
    </row>
    <row r="56" spans="1:20" x14ac:dyDescent="0.2">
      <c r="A56" t="str" cm="1">
        <f t="array" ref="A56">_xlfn.IFS(C56="it ITA", "Serie A", C56="eng ENG", "Premier League", C56="de GER", "Bundesliga", C56="es ESP", "La Liga", C56="fr FRA", "Ligue 1")</f>
        <v>La Liga</v>
      </c>
      <c r="B56" t="s">
        <v>511</v>
      </c>
      <c r="C56" t="s">
        <v>165</v>
      </c>
      <c r="D56">
        <v>14</v>
      </c>
      <c r="E56">
        <v>38</v>
      </c>
      <c r="F56">
        <v>15</v>
      </c>
      <c r="G56">
        <v>2</v>
      </c>
      <c r="H56">
        <v>21</v>
      </c>
      <c r="I56">
        <v>40</v>
      </c>
      <c r="J56">
        <v>50</v>
      </c>
      <c r="K56">
        <v>-10</v>
      </c>
      <c r="L56">
        <v>47</v>
      </c>
      <c r="M56">
        <v>1.24</v>
      </c>
      <c r="N56">
        <v>38.5</v>
      </c>
      <c r="O56">
        <v>55.9</v>
      </c>
      <c r="P56">
        <v>-17.399999999999999</v>
      </c>
      <c r="Q56">
        <v>-0.46</v>
      </c>
      <c r="R56" s="1">
        <v>18845</v>
      </c>
      <c r="S56" t="s">
        <v>1122</v>
      </c>
      <c r="T56" t="s">
        <v>1123</v>
      </c>
    </row>
    <row r="57" spans="1:20" x14ac:dyDescent="0.2">
      <c r="A57" t="str" cm="1">
        <f t="array" ref="A57">_xlfn.IFS(C57="it ITA", "Serie A", C57="eng ENG", "Premier League", C57="de GER", "Bundesliga", C57="es ESP", "La Liga", C57="fr FRA", "Ligue 1")</f>
        <v>Ligue 1</v>
      </c>
      <c r="B57" t="s">
        <v>130</v>
      </c>
      <c r="C57" t="s">
        <v>157</v>
      </c>
      <c r="D57">
        <v>12</v>
      </c>
      <c r="E57">
        <v>38</v>
      </c>
      <c r="F57">
        <v>12</v>
      </c>
      <c r="G57">
        <v>11</v>
      </c>
      <c r="H57">
        <v>15</v>
      </c>
      <c r="I57">
        <v>48</v>
      </c>
      <c r="J57">
        <v>59</v>
      </c>
      <c r="K57">
        <v>-11</v>
      </c>
      <c r="L57">
        <v>47</v>
      </c>
      <c r="M57">
        <v>1.24</v>
      </c>
      <c r="N57">
        <v>45.5</v>
      </c>
      <c r="O57">
        <v>49</v>
      </c>
      <c r="P57">
        <v>-3.5</v>
      </c>
      <c r="Q57">
        <v>-0.09</v>
      </c>
      <c r="R57" s="1">
        <v>14502</v>
      </c>
      <c r="S57" t="s">
        <v>1124</v>
      </c>
      <c r="T57" t="s">
        <v>1125</v>
      </c>
    </row>
    <row r="58" spans="1:20" x14ac:dyDescent="0.2">
      <c r="A58" t="str" cm="1">
        <f t="array" ref="A58">_xlfn.IFS(C58="it ITA", "Serie A", C58="eng ENG", "Premier League", C58="de GER", "Bundesliga", C58="es ESP", "La Liga", C58="fr FRA", "Ligue 1")</f>
        <v>Bundesliga</v>
      </c>
      <c r="B58" t="s">
        <v>1025</v>
      </c>
      <c r="C58" t="s">
        <v>160</v>
      </c>
      <c r="D58">
        <v>12</v>
      </c>
      <c r="E58">
        <v>34</v>
      </c>
      <c r="F58">
        <v>10</v>
      </c>
      <c r="G58">
        <v>11</v>
      </c>
      <c r="H58">
        <v>13</v>
      </c>
      <c r="I58">
        <v>43</v>
      </c>
      <c r="J58">
        <v>46</v>
      </c>
      <c r="K58">
        <v>-3</v>
      </c>
      <c r="L58">
        <v>41</v>
      </c>
      <c r="M58">
        <v>1.21</v>
      </c>
      <c r="N58">
        <v>44.7</v>
      </c>
      <c r="O58">
        <v>41.4</v>
      </c>
      <c r="P58">
        <v>3.3</v>
      </c>
      <c r="Q58">
        <v>0.1</v>
      </c>
      <c r="R58" s="1">
        <v>28238</v>
      </c>
      <c r="S58" t="s">
        <v>1126</v>
      </c>
      <c r="T58" t="s">
        <v>914</v>
      </c>
    </row>
    <row r="59" spans="1:20" x14ac:dyDescent="0.2">
      <c r="A59" t="str" cm="1">
        <f t="array" ref="A59">_xlfn.IFS(C59="it ITA", "Serie A", C59="eng ENG", "Premier League", C59="de GER", "Bundesliga", C59="es ESP", "La Liga", C59="fr FRA", "Ligue 1")</f>
        <v>La Liga</v>
      </c>
      <c r="B59" t="s">
        <v>1026</v>
      </c>
      <c r="C59" t="s">
        <v>165</v>
      </c>
      <c r="D59">
        <v>15</v>
      </c>
      <c r="E59">
        <v>38</v>
      </c>
      <c r="F59">
        <v>11</v>
      </c>
      <c r="G59">
        <v>13</v>
      </c>
      <c r="H59">
        <v>14</v>
      </c>
      <c r="I59">
        <v>44</v>
      </c>
      <c r="J59">
        <v>58</v>
      </c>
      <c r="K59">
        <v>-14</v>
      </c>
      <c r="L59">
        <v>46</v>
      </c>
      <c r="M59">
        <v>1.21</v>
      </c>
      <c r="N59">
        <v>44.7</v>
      </c>
      <c r="O59">
        <v>63.6</v>
      </c>
      <c r="P59">
        <v>-18.8</v>
      </c>
      <c r="Q59">
        <v>-0.5</v>
      </c>
      <c r="R59" s="1">
        <v>18534</v>
      </c>
      <c r="S59" t="s">
        <v>1127</v>
      </c>
      <c r="T59" t="s">
        <v>1128</v>
      </c>
    </row>
    <row r="60" spans="1:20" x14ac:dyDescent="0.2">
      <c r="A60" t="str" cm="1">
        <f t="array" ref="A60">_xlfn.IFS(C60="it ITA", "Serie A", C60="eng ENG", "Premier League", C60="de GER", "Bundesliga", C60="es ESP", "La Liga", C60="fr FRA", "Ligue 1")</f>
        <v>Ligue 1</v>
      </c>
      <c r="B60" t="s">
        <v>1202</v>
      </c>
      <c r="C60" t="s">
        <v>157</v>
      </c>
      <c r="D60">
        <v>13</v>
      </c>
      <c r="E60">
        <v>38</v>
      </c>
      <c r="F60">
        <v>12</v>
      </c>
      <c r="G60">
        <v>9</v>
      </c>
      <c r="H60">
        <v>17</v>
      </c>
      <c r="I60">
        <v>37</v>
      </c>
      <c r="J60">
        <v>42</v>
      </c>
      <c r="K60">
        <v>-5</v>
      </c>
      <c r="L60">
        <v>45</v>
      </c>
      <c r="M60">
        <v>1.18</v>
      </c>
      <c r="N60">
        <v>32.799999999999997</v>
      </c>
      <c r="O60">
        <v>54.9</v>
      </c>
      <c r="P60">
        <v>-22.1</v>
      </c>
      <c r="Q60">
        <v>-0.57999999999999996</v>
      </c>
      <c r="R60" s="1">
        <v>9521</v>
      </c>
      <c r="S60" t="s">
        <v>1129</v>
      </c>
      <c r="T60" t="s">
        <v>1130</v>
      </c>
    </row>
    <row r="61" spans="1:20" x14ac:dyDescent="0.2">
      <c r="A61" t="str" cm="1">
        <f t="array" ref="A61">_xlfn.IFS(C61="it ITA", "Serie A", C61="eng ENG", "Premier League", C61="de GER", "Bundesliga", C61="es ESP", "La Liga", C61="fr FRA", "Ligue 1")</f>
        <v>Premier League</v>
      </c>
      <c r="B61" t="s">
        <v>349</v>
      </c>
      <c r="C61" t="s">
        <v>150</v>
      </c>
      <c r="D61">
        <v>10</v>
      </c>
      <c r="E61">
        <v>38</v>
      </c>
      <c r="F61">
        <v>12</v>
      </c>
      <c r="G61">
        <v>8</v>
      </c>
      <c r="H61">
        <v>18</v>
      </c>
      <c r="I61">
        <v>39</v>
      </c>
      <c r="J61">
        <v>47</v>
      </c>
      <c r="K61">
        <v>-8</v>
      </c>
      <c r="L61">
        <v>44</v>
      </c>
      <c r="M61">
        <v>1.1599999999999999</v>
      </c>
      <c r="N61">
        <v>41.6</v>
      </c>
      <c r="O61">
        <v>52.4</v>
      </c>
      <c r="P61">
        <v>-10.8</v>
      </c>
      <c r="Q61">
        <v>-0.28000000000000003</v>
      </c>
      <c r="R61" s="1">
        <v>51992</v>
      </c>
      <c r="S61" t="s">
        <v>1131</v>
      </c>
      <c r="T61" t="s">
        <v>1132</v>
      </c>
    </row>
    <row r="62" spans="1:20" x14ac:dyDescent="0.2">
      <c r="A62" t="str" cm="1">
        <f t="array" ref="A62">_xlfn.IFS(C62="it ITA", "Serie A", C62="eng ENG", "Premier League", C62="de GER", "Bundesliga", C62="es ESP", "La Liga", C62="fr FRA", "Ligue 1")</f>
        <v>Premier League</v>
      </c>
      <c r="B62" t="s">
        <v>106</v>
      </c>
      <c r="C62" t="s">
        <v>150</v>
      </c>
      <c r="D62">
        <v>11</v>
      </c>
      <c r="E62">
        <v>38</v>
      </c>
      <c r="F62">
        <v>11</v>
      </c>
      <c r="G62">
        <v>11</v>
      </c>
      <c r="H62">
        <v>16</v>
      </c>
      <c r="I62">
        <v>45</v>
      </c>
      <c r="J62">
        <v>55</v>
      </c>
      <c r="K62">
        <v>-10</v>
      </c>
      <c r="L62">
        <v>44</v>
      </c>
      <c r="M62">
        <v>1.1599999999999999</v>
      </c>
      <c r="N62">
        <v>53.5</v>
      </c>
      <c r="O62">
        <v>48.2</v>
      </c>
      <c r="P62">
        <v>5.2</v>
      </c>
      <c r="Q62">
        <v>0.14000000000000001</v>
      </c>
      <c r="R62" s="1">
        <v>25063</v>
      </c>
      <c r="S62" t="s">
        <v>1133</v>
      </c>
      <c r="T62" t="s">
        <v>1134</v>
      </c>
    </row>
    <row r="63" spans="1:20" x14ac:dyDescent="0.2">
      <c r="A63" t="str" cm="1">
        <f t="array" ref="A63">_xlfn.IFS(C63="it ITA", "Serie A", C63="eng ENG", "Premier League", C63="de GER", "Bundesliga", C63="es ESP", "La Liga", C63="fr FRA", "Ligue 1")</f>
        <v>Premier League</v>
      </c>
      <c r="B63" t="s">
        <v>1203</v>
      </c>
      <c r="C63" t="s">
        <v>150</v>
      </c>
      <c r="D63">
        <v>12</v>
      </c>
      <c r="E63">
        <v>38</v>
      </c>
      <c r="F63">
        <v>11</v>
      </c>
      <c r="G63">
        <v>11</v>
      </c>
      <c r="H63">
        <v>16</v>
      </c>
      <c r="I63">
        <v>45</v>
      </c>
      <c r="J63">
        <v>61</v>
      </c>
      <c r="K63">
        <v>-16</v>
      </c>
      <c r="L63">
        <v>44</v>
      </c>
      <c r="M63">
        <v>1.1599999999999999</v>
      </c>
      <c r="N63">
        <v>38.799999999999997</v>
      </c>
      <c r="O63">
        <v>59.2</v>
      </c>
      <c r="P63">
        <v>-20.399999999999999</v>
      </c>
      <c r="Q63">
        <v>-0.54</v>
      </c>
      <c r="R63" s="1">
        <v>10641</v>
      </c>
      <c r="S63" t="s">
        <v>1135</v>
      </c>
      <c r="T63" t="s">
        <v>925</v>
      </c>
    </row>
    <row r="64" spans="1:20" x14ac:dyDescent="0.2">
      <c r="A64" t="str" cm="1">
        <f t="array" ref="A64">_xlfn.IFS(C64="it ITA", "Serie A", C64="eng ENG", "Premier League", C64="de GER", "Bundesliga", C64="es ESP", "La Liga", C64="fr FRA", "Ligue 1")</f>
        <v>Bundesliga</v>
      </c>
      <c r="B64" t="s">
        <v>689</v>
      </c>
      <c r="C64" t="s">
        <v>160</v>
      </c>
      <c r="D64">
        <v>13</v>
      </c>
      <c r="E64">
        <v>34</v>
      </c>
      <c r="F64">
        <v>10</v>
      </c>
      <c r="G64">
        <v>9</v>
      </c>
      <c r="H64">
        <v>15</v>
      </c>
      <c r="I64">
        <v>44</v>
      </c>
      <c r="J64">
        <v>54</v>
      </c>
      <c r="K64">
        <v>-10</v>
      </c>
      <c r="L64">
        <v>39</v>
      </c>
      <c r="M64">
        <v>1.1499999999999999</v>
      </c>
      <c r="N64">
        <v>44.6</v>
      </c>
      <c r="O64">
        <v>55.6</v>
      </c>
      <c r="P64">
        <v>-11</v>
      </c>
      <c r="Q64">
        <v>-0.32</v>
      </c>
      <c r="R64" s="1">
        <v>42706</v>
      </c>
      <c r="S64" t="s">
        <v>1136</v>
      </c>
      <c r="T64" t="s">
        <v>1137</v>
      </c>
    </row>
    <row r="65" spans="1:20" x14ac:dyDescent="0.2">
      <c r="A65" t="str" cm="1">
        <f t="array" ref="A65">_xlfn.IFS(C65="it ITA", "Serie A", C65="eng ENG", "Premier League", C65="de GER", "Bundesliga", C65="es ESP", "La Liga", C65="fr FRA", "Ligue 1")</f>
        <v>La Liga</v>
      </c>
      <c r="B65" t="s">
        <v>342</v>
      </c>
      <c r="C65" t="s">
        <v>165</v>
      </c>
      <c r="D65">
        <v>16</v>
      </c>
      <c r="E65">
        <v>38</v>
      </c>
      <c r="F65">
        <v>10</v>
      </c>
      <c r="G65">
        <v>13</v>
      </c>
      <c r="H65">
        <v>15</v>
      </c>
      <c r="I65">
        <v>41</v>
      </c>
      <c r="J65">
        <v>49</v>
      </c>
      <c r="K65">
        <v>-8</v>
      </c>
      <c r="L65">
        <v>43</v>
      </c>
      <c r="M65">
        <v>1.1299999999999999</v>
      </c>
      <c r="N65">
        <v>49.7</v>
      </c>
      <c r="O65">
        <v>50.3</v>
      </c>
      <c r="P65">
        <v>-0.6</v>
      </c>
      <c r="Q65">
        <v>-0.02</v>
      </c>
      <c r="R65" s="1">
        <v>37246</v>
      </c>
      <c r="S65" t="s">
        <v>1138</v>
      </c>
      <c r="T65" t="s">
        <v>1139</v>
      </c>
    </row>
    <row r="66" spans="1:20" x14ac:dyDescent="0.2">
      <c r="A66" t="str" cm="1">
        <f t="array" ref="A66">_xlfn.IFS(C66="it ITA", "Serie A", C66="eng ENG", "Premier League", C66="de GER", "Bundesliga", C66="es ESP", "La Liga", C66="fr FRA", "Ligue 1")</f>
        <v>La Liga</v>
      </c>
      <c r="B66" t="s">
        <v>1204</v>
      </c>
      <c r="C66" t="s">
        <v>165</v>
      </c>
      <c r="D66">
        <v>17</v>
      </c>
      <c r="E66">
        <v>38</v>
      </c>
      <c r="F66">
        <v>12</v>
      </c>
      <c r="G66">
        <v>7</v>
      </c>
      <c r="H66">
        <v>19</v>
      </c>
      <c r="I66">
        <v>34</v>
      </c>
      <c r="J66">
        <v>51</v>
      </c>
      <c r="K66">
        <v>-17</v>
      </c>
      <c r="L66">
        <v>43</v>
      </c>
      <c r="M66">
        <v>1.1299999999999999</v>
      </c>
      <c r="N66">
        <v>39.9</v>
      </c>
      <c r="O66">
        <v>47.6</v>
      </c>
      <c r="P66">
        <v>-7.6</v>
      </c>
      <c r="Q66">
        <v>-0.2</v>
      </c>
      <c r="R66" s="1">
        <v>9969</v>
      </c>
      <c r="S66" t="s">
        <v>1140</v>
      </c>
      <c r="T66" t="s">
        <v>1141</v>
      </c>
    </row>
    <row r="67" spans="1:20" x14ac:dyDescent="0.2">
      <c r="A67" t="str" cm="1">
        <f t="array" ref="A67">_xlfn.IFS(C67="it ITA", "Serie A", C67="eng ENG", "Premier League", C67="de GER", "Bundesliga", C67="es ESP", "La Liga", C67="fr FRA", "Ligue 1")</f>
        <v>Serie A</v>
      </c>
      <c r="B67" t="s">
        <v>1032</v>
      </c>
      <c r="C67" t="s">
        <v>147</v>
      </c>
      <c r="D67">
        <v>11</v>
      </c>
      <c r="E67">
        <v>38</v>
      </c>
      <c r="F67">
        <v>11</v>
      </c>
      <c r="G67">
        <v>10</v>
      </c>
      <c r="H67">
        <v>17</v>
      </c>
      <c r="I67">
        <v>29</v>
      </c>
      <c r="J67">
        <v>59</v>
      </c>
      <c r="K67">
        <v>-30</v>
      </c>
      <c r="L67">
        <v>43</v>
      </c>
      <c r="M67">
        <v>1.1299999999999999</v>
      </c>
      <c r="N67">
        <v>46.3</v>
      </c>
      <c r="O67">
        <v>48.9</v>
      </c>
      <c r="P67">
        <v>-2.6</v>
      </c>
      <c r="Q67">
        <v>-7.0000000000000007E-2</v>
      </c>
      <c r="R67" s="1">
        <v>11004</v>
      </c>
      <c r="S67" t="s">
        <v>1142</v>
      </c>
      <c r="T67" t="s">
        <v>830</v>
      </c>
    </row>
    <row r="68" spans="1:20" x14ac:dyDescent="0.2">
      <c r="A68" t="str" cm="1">
        <f t="array" ref="A68">_xlfn.IFS(C68="it ITA", "Serie A", C68="eng ENG", "Premier League", C68="de GER", "Bundesliga", C68="es ESP", "La Liga", C68="fr FRA", "Ligue 1")</f>
        <v>Premier League</v>
      </c>
      <c r="B68" t="s">
        <v>345</v>
      </c>
      <c r="C68" t="s">
        <v>150</v>
      </c>
      <c r="D68">
        <v>13</v>
      </c>
      <c r="E68">
        <v>38</v>
      </c>
      <c r="F68">
        <v>10</v>
      </c>
      <c r="G68">
        <v>12</v>
      </c>
      <c r="H68">
        <v>16</v>
      </c>
      <c r="I68">
        <v>48</v>
      </c>
      <c r="J68">
        <v>68</v>
      </c>
      <c r="K68">
        <v>-20</v>
      </c>
      <c r="L68">
        <v>42</v>
      </c>
      <c r="M68">
        <v>1.1100000000000001</v>
      </c>
      <c r="N68">
        <v>36.700000000000003</v>
      </c>
      <c r="O68">
        <v>55.1</v>
      </c>
      <c r="P68">
        <v>-18.399999999999999</v>
      </c>
      <c r="Q68">
        <v>-0.48</v>
      </c>
      <c r="R68" s="1">
        <v>56885</v>
      </c>
      <c r="S68" t="s">
        <v>1143</v>
      </c>
      <c r="T68" t="s">
        <v>1144</v>
      </c>
    </row>
    <row r="69" spans="1:20" x14ac:dyDescent="0.2">
      <c r="A69" t="str" cm="1">
        <f t="array" ref="A69">_xlfn.IFS(C69="it ITA", "Serie A", C69="eng ENG", "Premier League", C69="de GER", "Bundesliga", C69="es ESP", "La Liga", C69="fr FRA", "Ligue 1")</f>
        <v>Serie A</v>
      </c>
      <c r="B69" t="s">
        <v>47</v>
      </c>
      <c r="C69" t="s">
        <v>147</v>
      </c>
      <c r="D69">
        <v>12</v>
      </c>
      <c r="E69">
        <v>38</v>
      </c>
      <c r="F69">
        <v>11</v>
      </c>
      <c r="G69">
        <v>8</v>
      </c>
      <c r="H69">
        <v>19</v>
      </c>
      <c r="I69">
        <v>33</v>
      </c>
      <c r="J69">
        <v>43</v>
      </c>
      <c r="K69">
        <v>-10</v>
      </c>
      <c r="L69">
        <v>41</v>
      </c>
      <c r="M69">
        <v>1.08</v>
      </c>
      <c r="N69">
        <v>43.5</v>
      </c>
      <c r="O69">
        <v>42.6</v>
      </c>
      <c r="P69">
        <v>0.9</v>
      </c>
      <c r="Q69">
        <v>0.02</v>
      </c>
      <c r="R69" s="1">
        <v>20731</v>
      </c>
      <c r="S69" t="s">
        <v>1145</v>
      </c>
      <c r="T69" t="s">
        <v>955</v>
      </c>
    </row>
    <row r="70" spans="1:20" x14ac:dyDescent="0.2">
      <c r="A70" t="str" cm="1">
        <f t="array" ref="A70">_xlfn.IFS(C70="it ITA", "Serie A", C70="eng ENG", "Premier League", C70="de GER", "Bundesliga", C70="es ESP", "La Liga", C70="fr FRA", "Ligue 1")</f>
        <v>Ligue 1</v>
      </c>
      <c r="B70" t="s">
        <v>104</v>
      </c>
      <c r="C70" t="s">
        <v>157</v>
      </c>
      <c r="D70">
        <v>14</v>
      </c>
      <c r="E70">
        <v>38</v>
      </c>
      <c r="F70">
        <v>9</v>
      </c>
      <c r="G70">
        <v>14</v>
      </c>
      <c r="H70">
        <v>15</v>
      </c>
      <c r="I70">
        <v>42</v>
      </c>
      <c r="J70">
        <v>52</v>
      </c>
      <c r="K70">
        <v>-10</v>
      </c>
      <c r="L70">
        <v>41</v>
      </c>
      <c r="M70">
        <v>1.08</v>
      </c>
      <c r="N70">
        <v>47.6</v>
      </c>
      <c r="O70">
        <v>45.8</v>
      </c>
      <c r="P70">
        <v>1.8</v>
      </c>
      <c r="Q70">
        <v>0.05</v>
      </c>
      <c r="R70" s="1">
        <v>11065</v>
      </c>
      <c r="S70" t="s">
        <v>1146</v>
      </c>
      <c r="T70" t="s">
        <v>1147</v>
      </c>
    </row>
    <row r="71" spans="1:20" x14ac:dyDescent="0.2">
      <c r="A71" t="str" cm="1">
        <f t="array" ref="A71">_xlfn.IFS(C71="it ITA", "Serie A", C71="eng ENG", "Premier League", C71="de GER", "Bundesliga", C71="es ESP", "La Liga", C71="fr FRA", "Ligue 1")</f>
        <v>Premier League</v>
      </c>
      <c r="B71" t="s">
        <v>1205</v>
      </c>
      <c r="C71" t="s">
        <v>150</v>
      </c>
      <c r="D71">
        <v>14</v>
      </c>
      <c r="E71">
        <v>38</v>
      </c>
      <c r="F71">
        <v>11</v>
      </c>
      <c r="G71">
        <v>8</v>
      </c>
      <c r="H71">
        <v>19</v>
      </c>
      <c r="I71">
        <v>44</v>
      </c>
      <c r="J71">
        <v>64</v>
      </c>
      <c r="K71">
        <v>-20</v>
      </c>
      <c r="L71">
        <v>41</v>
      </c>
      <c r="M71">
        <v>1.08</v>
      </c>
      <c r="N71">
        <v>45</v>
      </c>
      <c r="O71">
        <v>51.8</v>
      </c>
      <c r="P71">
        <v>-6.8</v>
      </c>
      <c r="Q71">
        <v>-0.18</v>
      </c>
      <c r="R71" s="1">
        <v>20231</v>
      </c>
      <c r="S71" t="s">
        <v>1148</v>
      </c>
      <c r="T71" t="s">
        <v>721</v>
      </c>
    </row>
    <row r="72" spans="1:20" x14ac:dyDescent="0.2">
      <c r="A72" t="str" cm="1">
        <f t="array" ref="A72">_xlfn.IFS(C72="it ITA", "Serie A", C72="eng ENG", "Premier League", C72="de GER", "Bundesliga", C72="es ESP", "La Liga", C72="fr FRA", "Ligue 1")</f>
        <v>Bundesliga</v>
      </c>
      <c r="B72" t="s">
        <v>688</v>
      </c>
      <c r="C72" t="s">
        <v>160</v>
      </c>
      <c r="D72">
        <v>14</v>
      </c>
      <c r="E72">
        <v>34</v>
      </c>
      <c r="F72">
        <v>9</v>
      </c>
      <c r="G72">
        <v>9</v>
      </c>
      <c r="H72">
        <v>16</v>
      </c>
      <c r="I72">
        <v>38</v>
      </c>
      <c r="J72">
        <v>52</v>
      </c>
      <c r="K72">
        <v>-14</v>
      </c>
      <c r="L72">
        <v>36</v>
      </c>
      <c r="M72">
        <v>1.06</v>
      </c>
      <c r="N72">
        <v>35.4</v>
      </c>
      <c r="O72">
        <v>47.9</v>
      </c>
      <c r="P72">
        <v>-12.5</v>
      </c>
      <c r="Q72">
        <v>-0.37</v>
      </c>
      <c r="R72" s="1">
        <v>28766</v>
      </c>
      <c r="S72" t="s">
        <v>1149</v>
      </c>
      <c r="T72" t="s">
        <v>1150</v>
      </c>
    </row>
    <row r="73" spans="1:20" x14ac:dyDescent="0.2">
      <c r="A73" t="str" cm="1">
        <f t="array" ref="A73">_xlfn.IFS(C73="it ITA", "Serie A", C73="eng ENG", "Premier League", C73="de GER", "Bundesliga", C73="es ESP", "La Liga", C73="fr FRA", "Ligue 1")</f>
        <v>Bundesliga</v>
      </c>
      <c r="B73" t="s">
        <v>70</v>
      </c>
      <c r="C73" t="s">
        <v>160</v>
      </c>
      <c r="D73">
        <v>15</v>
      </c>
      <c r="E73">
        <v>34</v>
      </c>
      <c r="F73">
        <v>8</v>
      </c>
      <c r="G73">
        <v>12</v>
      </c>
      <c r="H73">
        <v>14</v>
      </c>
      <c r="I73">
        <v>32</v>
      </c>
      <c r="J73">
        <v>56</v>
      </c>
      <c r="K73">
        <v>-24</v>
      </c>
      <c r="L73">
        <v>36</v>
      </c>
      <c r="M73">
        <v>1.06</v>
      </c>
      <c r="N73">
        <v>39.6</v>
      </c>
      <c r="O73">
        <v>46.1</v>
      </c>
      <c r="P73">
        <v>-6.6</v>
      </c>
      <c r="Q73">
        <v>-0.19</v>
      </c>
      <c r="R73" s="1">
        <v>23894</v>
      </c>
      <c r="S73" t="s">
        <v>1151</v>
      </c>
      <c r="T73" t="s">
        <v>1152</v>
      </c>
    </row>
    <row r="74" spans="1:20" x14ac:dyDescent="0.2">
      <c r="A74" t="str" cm="1">
        <f t="array" ref="A74">_xlfn.IFS(C74="it ITA", "Serie A", C74="eng ENG", "Premier League", C74="de GER", "Bundesliga", C74="es ESP", "La Liga", C74="fr FRA", "Ligue 1")</f>
        <v>Serie A</v>
      </c>
      <c r="B74" t="s">
        <v>60</v>
      </c>
      <c r="C74" t="s">
        <v>147</v>
      </c>
      <c r="D74">
        <v>14</v>
      </c>
      <c r="E74">
        <v>38</v>
      </c>
      <c r="F74">
        <v>12</v>
      </c>
      <c r="G74">
        <v>4</v>
      </c>
      <c r="H74">
        <v>22</v>
      </c>
      <c r="I74">
        <v>48</v>
      </c>
      <c r="J74">
        <v>63</v>
      </c>
      <c r="K74">
        <v>-15</v>
      </c>
      <c r="L74">
        <v>40</v>
      </c>
      <c r="M74">
        <v>1.05</v>
      </c>
      <c r="N74">
        <v>43.2</v>
      </c>
      <c r="O74">
        <v>49.3</v>
      </c>
      <c r="P74">
        <v>-6.1</v>
      </c>
      <c r="Q74">
        <v>-0.16</v>
      </c>
      <c r="R74" s="1">
        <v>16159</v>
      </c>
      <c r="S74" t="s">
        <v>1153</v>
      </c>
      <c r="T74" t="s">
        <v>1154</v>
      </c>
    </row>
    <row r="75" spans="1:20" x14ac:dyDescent="0.2">
      <c r="A75" t="str" cm="1">
        <f t="array" ref="A75">_xlfn.IFS(C75="it ITA", "Serie A", C75="eng ENG", "Premier League", C75="de GER", "Bundesliga", C75="es ESP", "La Liga", C75="fr FRA", "Ligue 1")</f>
        <v>Premier League</v>
      </c>
      <c r="B75" t="s">
        <v>1206</v>
      </c>
      <c r="C75" t="s">
        <v>150</v>
      </c>
      <c r="D75">
        <v>15</v>
      </c>
      <c r="E75">
        <v>38</v>
      </c>
      <c r="F75">
        <v>9</v>
      </c>
      <c r="G75">
        <v>13</v>
      </c>
      <c r="H75">
        <v>16</v>
      </c>
      <c r="I75">
        <v>34</v>
      </c>
      <c r="J75">
        <v>54</v>
      </c>
      <c r="K75">
        <v>-20</v>
      </c>
      <c r="L75">
        <v>40</v>
      </c>
      <c r="M75">
        <v>1.05</v>
      </c>
      <c r="N75">
        <v>37</v>
      </c>
      <c r="O75">
        <v>50.8</v>
      </c>
      <c r="P75">
        <v>-13.8</v>
      </c>
      <c r="Q75">
        <v>-0.36</v>
      </c>
      <c r="R75" s="1">
        <v>30403</v>
      </c>
      <c r="S75" t="s">
        <v>1155</v>
      </c>
      <c r="T75" t="s">
        <v>1156</v>
      </c>
    </row>
    <row r="76" spans="1:20" x14ac:dyDescent="0.2">
      <c r="A76" t="str" cm="1">
        <f t="array" ref="A76">_xlfn.IFS(C76="it ITA", "Serie A", C76="eng ENG", "Premier League", C76="de GER", "Bundesliga", C76="es ESP", "La Liga", C76="fr FRA", "Ligue 1")</f>
        <v>Serie A</v>
      </c>
      <c r="B76" t="s">
        <v>510</v>
      </c>
      <c r="C76" t="s">
        <v>147</v>
      </c>
      <c r="D76">
        <v>13</v>
      </c>
      <c r="E76">
        <v>38</v>
      </c>
      <c r="F76">
        <v>10</v>
      </c>
      <c r="G76">
        <v>10</v>
      </c>
      <c r="H76">
        <v>18</v>
      </c>
      <c r="I76">
        <v>36</v>
      </c>
      <c r="J76">
        <v>59</v>
      </c>
      <c r="K76">
        <v>-23</v>
      </c>
      <c r="L76">
        <v>40</v>
      </c>
      <c r="M76">
        <v>1.05</v>
      </c>
      <c r="N76">
        <v>34.1</v>
      </c>
      <c r="O76">
        <v>55.2</v>
      </c>
      <c r="P76">
        <v>-21.2</v>
      </c>
      <c r="Q76">
        <v>-0.56000000000000005</v>
      </c>
      <c r="R76" s="1">
        <v>11436</v>
      </c>
      <c r="S76" t="s">
        <v>1157</v>
      </c>
      <c r="T76" t="s">
        <v>791</v>
      </c>
    </row>
    <row r="77" spans="1:20" x14ac:dyDescent="0.2">
      <c r="A77" t="str" cm="1">
        <f t="array" ref="A77">_xlfn.IFS(C77="it ITA", "Serie A", C77="eng ENG", "Premier League", C77="de GER", "Bundesliga", C77="es ESP", "La Liga", C77="fr FRA", "Ligue 1")</f>
        <v>Serie A</v>
      </c>
      <c r="B77" t="s">
        <v>120</v>
      </c>
      <c r="C77" t="s">
        <v>147</v>
      </c>
      <c r="D77">
        <v>15</v>
      </c>
      <c r="E77">
        <v>38</v>
      </c>
      <c r="F77">
        <v>11</v>
      </c>
      <c r="G77">
        <v>6</v>
      </c>
      <c r="H77">
        <v>21</v>
      </c>
      <c r="I77">
        <v>40</v>
      </c>
      <c r="J77">
        <v>52</v>
      </c>
      <c r="K77">
        <v>-12</v>
      </c>
      <c r="L77">
        <v>39</v>
      </c>
      <c r="M77">
        <v>1.03</v>
      </c>
      <c r="N77">
        <v>36.6</v>
      </c>
      <c r="O77">
        <v>51.4</v>
      </c>
      <c r="P77">
        <v>-14.8</v>
      </c>
      <c r="Q77">
        <v>-0.39</v>
      </c>
      <c r="R77" s="1">
        <v>22556</v>
      </c>
      <c r="S77" t="s">
        <v>1158</v>
      </c>
      <c r="T77" t="s">
        <v>648</v>
      </c>
    </row>
    <row r="78" spans="1:20" x14ac:dyDescent="0.2">
      <c r="A78" t="str" cm="1">
        <f t="array" ref="A78">_xlfn.IFS(C78="it ITA", "Serie A", C78="eng ENG", "Premier League", C78="de GER", "Bundesliga", C78="es ESP", "La Liga", C78="fr FRA", "Ligue 1")</f>
        <v>Serie A</v>
      </c>
      <c r="B78" t="s">
        <v>44</v>
      </c>
      <c r="C78" t="s">
        <v>147</v>
      </c>
      <c r="D78">
        <v>16</v>
      </c>
      <c r="E78">
        <v>38</v>
      </c>
      <c r="F78">
        <v>11</v>
      </c>
      <c r="G78">
        <v>6</v>
      </c>
      <c r="H78">
        <v>21</v>
      </c>
      <c r="I78">
        <v>33</v>
      </c>
      <c r="J78">
        <v>61</v>
      </c>
      <c r="K78">
        <v>-28</v>
      </c>
      <c r="L78">
        <v>39</v>
      </c>
      <c r="M78">
        <v>1.03</v>
      </c>
      <c r="N78">
        <v>39.700000000000003</v>
      </c>
      <c r="O78">
        <v>59.2</v>
      </c>
      <c r="P78">
        <v>-19.5</v>
      </c>
      <c r="Q78">
        <v>-0.51</v>
      </c>
      <c r="R78" s="1">
        <v>14651</v>
      </c>
      <c r="S78" t="s">
        <v>1159</v>
      </c>
      <c r="T78" t="s">
        <v>1160</v>
      </c>
    </row>
    <row r="79" spans="1:20" x14ac:dyDescent="0.2">
      <c r="A79" t="str" cm="1">
        <f t="array" ref="A79">_xlfn.IFS(C79="it ITA", "Serie A", C79="eng ENG", "Premier League", C79="de GER", "Bundesliga", C79="es ESP", "La Liga", C79="fr FRA", "Ligue 1")</f>
        <v>Serie A</v>
      </c>
      <c r="B79" t="s">
        <v>1207</v>
      </c>
      <c r="C79" t="s">
        <v>147</v>
      </c>
      <c r="D79">
        <v>17</v>
      </c>
      <c r="E79">
        <v>38</v>
      </c>
      <c r="F79">
        <v>8</v>
      </c>
      <c r="G79">
        <v>14</v>
      </c>
      <c r="H79">
        <v>16</v>
      </c>
      <c r="I79">
        <v>39</v>
      </c>
      <c r="J79">
        <v>59</v>
      </c>
      <c r="K79">
        <v>-20</v>
      </c>
      <c r="L79">
        <v>38</v>
      </c>
      <c r="M79">
        <v>1</v>
      </c>
      <c r="N79">
        <v>35.799999999999997</v>
      </c>
      <c r="O79">
        <v>57.7</v>
      </c>
      <c r="P79">
        <v>-21.9</v>
      </c>
      <c r="Q79">
        <v>-0.57999999999999996</v>
      </c>
      <c r="R79" s="1">
        <v>12065</v>
      </c>
      <c r="S79" t="s">
        <v>1161</v>
      </c>
      <c r="T79" t="s">
        <v>1162</v>
      </c>
    </row>
    <row r="80" spans="1:20" x14ac:dyDescent="0.2">
      <c r="A80" t="str" cm="1">
        <f t="array" ref="A80">_xlfn.IFS(C80="it ITA", "Serie A", C80="eng ENG", "Premier League", C80="de GER", "Bundesliga", C80="es ESP", "La Liga", C80="fr FRA", "Ligue 1")</f>
        <v>Ligue 1</v>
      </c>
      <c r="B80" t="s">
        <v>94</v>
      </c>
      <c r="C80" t="s">
        <v>157</v>
      </c>
      <c r="D80">
        <v>15</v>
      </c>
      <c r="E80">
        <v>38</v>
      </c>
      <c r="F80">
        <v>9</v>
      </c>
      <c r="G80">
        <v>11</v>
      </c>
      <c r="H80">
        <v>18</v>
      </c>
      <c r="I80">
        <v>44</v>
      </c>
      <c r="J80">
        <v>67</v>
      </c>
      <c r="K80">
        <v>-23</v>
      </c>
      <c r="L80">
        <v>38</v>
      </c>
      <c r="M80">
        <v>1</v>
      </c>
      <c r="N80">
        <v>45.5</v>
      </c>
      <c r="O80">
        <v>58.4</v>
      </c>
      <c r="P80">
        <v>-12.9</v>
      </c>
      <c r="Q80">
        <v>-0.34</v>
      </c>
      <c r="R80" s="1">
        <v>24064</v>
      </c>
      <c r="S80" t="s">
        <v>1163</v>
      </c>
      <c r="T80" t="s">
        <v>1164</v>
      </c>
    </row>
    <row r="81" spans="1:20" x14ac:dyDescent="0.2">
      <c r="A81" t="str" cm="1">
        <f t="array" ref="A81">_xlfn.IFS(C81="it ITA", "Serie A", C81="eng ENG", "Premier League", C81="de GER", "Bundesliga", C81="es ESP", "La Liga", C81="fr FRA", "Ligue 1")</f>
        <v>Ligue 1</v>
      </c>
      <c r="B81" t="s">
        <v>97</v>
      </c>
      <c r="C81" t="s">
        <v>157</v>
      </c>
      <c r="D81">
        <v>16</v>
      </c>
      <c r="E81">
        <v>38</v>
      </c>
      <c r="F81">
        <v>10</v>
      </c>
      <c r="G81">
        <v>8</v>
      </c>
      <c r="H81">
        <v>20</v>
      </c>
      <c r="I81">
        <v>27</v>
      </c>
      <c r="J81">
        <v>52</v>
      </c>
      <c r="K81">
        <v>-25</v>
      </c>
      <c r="L81">
        <v>38</v>
      </c>
      <c r="M81">
        <v>1</v>
      </c>
      <c r="N81">
        <v>42.8</v>
      </c>
      <c r="O81">
        <v>48</v>
      </c>
      <c r="P81">
        <v>-5.2</v>
      </c>
      <c r="Q81">
        <v>-0.14000000000000001</v>
      </c>
      <c r="R81" s="1">
        <v>17187</v>
      </c>
      <c r="S81" t="s">
        <v>1165</v>
      </c>
      <c r="T81" t="s">
        <v>1166</v>
      </c>
    </row>
    <row r="82" spans="1:20" x14ac:dyDescent="0.2">
      <c r="A82" t="str" cm="1">
        <f t="array" ref="A82">_xlfn.IFS(C82="it ITA", "Serie A", C82="eng ENG", "Premier League", C82="de GER", "Bundesliga", C82="es ESP", "La Liga", C82="fr FRA", "Ligue 1")</f>
        <v>Ligue 1</v>
      </c>
      <c r="B82" t="s">
        <v>96</v>
      </c>
      <c r="C82" t="s">
        <v>157</v>
      </c>
      <c r="D82">
        <v>17</v>
      </c>
      <c r="E82">
        <v>38</v>
      </c>
      <c r="F82">
        <v>10</v>
      </c>
      <c r="G82">
        <v>8</v>
      </c>
      <c r="H82">
        <v>20</v>
      </c>
      <c r="I82">
        <v>41</v>
      </c>
      <c r="J82">
        <v>67</v>
      </c>
      <c r="K82">
        <v>-26</v>
      </c>
      <c r="L82">
        <v>38</v>
      </c>
      <c r="M82">
        <v>1</v>
      </c>
      <c r="N82">
        <v>36.4</v>
      </c>
      <c r="O82">
        <v>57.9</v>
      </c>
      <c r="P82">
        <v>-21.5</v>
      </c>
      <c r="Q82">
        <v>-0.56999999999999995</v>
      </c>
      <c r="R82" s="1">
        <v>31453</v>
      </c>
      <c r="S82" t="s">
        <v>1167</v>
      </c>
      <c r="T82" t="s">
        <v>1168</v>
      </c>
    </row>
    <row r="83" spans="1:20" x14ac:dyDescent="0.2">
      <c r="A83" t="str" cm="1">
        <f t="array" ref="A83">_xlfn.IFS(C83="it ITA", "Serie A", C83="eng ENG", "Premier League", C83="de GER", "Bundesliga", C83="es ESP", "La Liga", C83="fr FRA", "Ligue 1")</f>
        <v>Bundesliga</v>
      </c>
      <c r="B83" t="s">
        <v>352</v>
      </c>
      <c r="C83" t="s">
        <v>160</v>
      </c>
      <c r="D83">
        <v>16</v>
      </c>
      <c r="E83">
        <v>34</v>
      </c>
      <c r="F83">
        <v>6</v>
      </c>
      <c r="G83">
        <v>15</v>
      </c>
      <c r="H83">
        <v>13</v>
      </c>
      <c r="I83">
        <v>36</v>
      </c>
      <c r="J83">
        <v>48</v>
      </c>
      <c r="K83">
        <v>-12</v>
      </c>
      <c r="L83">
        <v>33</v>
      </c>
      <c r="M83">
        <v>0.97</v>
      </c>
      <c r="N83">
        <v>34.200000000000003</v>
      </c>
      <c r="O83">
        <v>52</v>
      </c>
      <c r="P83">
        <v>-17.8</v>
      </c>
      <c r="Q83">
        <v>-0.52</v>
      </c>
      <c r="R83" s="1">
        <v>25712</v>
      </c>
      <c r="S83" t="s">
        <v>1169</v>
      </c>
      <c r="T83" t="s">
        <v>928</v>
      </c>
    </row>
    <row r="84" spans="1:20" x14ac:dyDescent="0.2">
      <c r="A84" t="str" cm="1">
        <f t="array" ref="A84">_xlfn.IFS(C84="it ITA", "Serie A", C84="eng ENG", "Premier League", C84="de GER", "Bundesliga", C84="es ESP", "La Liga", C84="fr FRA", "Ligue 1")</f>
        <v>Ligue 1</v>
      </c>
      <c r="B84" t="s">
        <v>103</v>
      </c>
      <c r="C84" t="s">
        <v>157</v>
      </c>
      <c r="D84">
        <v>18</v>
      </c>
      <c r="E84">
        <v>38</v>
      </c>
      <c r="F84">
        <v>9</v>
      </c>
      <c r="G84">
        <v>10</v>
      </c>
      <c r="H84">
        <v>19</v>
      </c>
      <c r="I84">
        <v>38</v>
      </c>
      <c r="J84">
        <v>54</v>
      </c>
      <c r="K84">
        <v>-16</v>
      </c>
      <c r="L84">
        <v>37</v>
      </c>
      <c r="M84">
        <v>0.97</v>
      </c>
      <c r="N84">
        <v>45.5</v>
      </c>
      <c r="O84">
        <v>52.1</v>
      </c>
      <c r="P84">
        <v>-6.6</v>
      </c>
      <c r="Q84">
        <v>-0.17</v>
      </c>
      <c r="R84" s="1">
        <v>16929</v>
      </c>
      <c r="S84" t="s">
        <v>1170</v>
      </c>
      <c r="T84" t="s">
        <v>1171</v>
      </c>
    </row>
    <row r="85" spans="1:20" x14ac:dyDescent="0.2">
      <c r="A85" t="str" cm="1">
        <f t="array" ref="A85">_xlfn.IFS(C85="it ITA", "Serie A", C85="eng ENG", "Premier League", C85="de GER", "Bundesliga", C85="es ESP", "La Liga", C85="fr FRA", "Ligue 1")</f>
        <v>Premier League</v>
      </c>
      <c r="B85" t="s">
        <v>1208</v>
      </c>
      <c r="C85" t="s">
        <v>150</v>
      </c>
      <c r="D85">
        <v>16</v>
      </c>
      <c r="E85">
        <v>38</v>
      </c>
      <c r="F85">
        <v>9</v>
      </c>
      <c r="G85">
        <v>10</v>
      </c>
      <c r="H85">
        <v>19</v>
      </c>
      <c r="I85">
        <v>28</v>
      </c>
      <c r="J85">
        <v>58</v>
      </c>
      <c r="K85">
        <v>-30</v>
      </c>
      <c r="L85">
        <v>37</v>
      </c>
      <c r="M85">
        <v>0.97</v>
      </c>
      <c r="N85">
        <v>31.3</v>
      </c>
      <c r="O85">
        <v>48.5</v>
      </c>
      <c r="P85">
        <v>-17.2</v>
      </c>
      <c r="Q85">
        <v>-0.45</v>
      </c>
      <c r="R85" s="1">
        <v>24040</v>
      </c>
      <c r="S85" t="s">
        <v>1172</v>
      </c>
      <c r="T85" t="s">
        <v>1173</v>
      </c>
    </row>
    <row r="86" spans="1:20" x14ac:dyDescent="0.2">
      <c r="A86" t="str" cm="1">
        <f t="array" ref="A86">_xlfn.IFS(C86="it ITA", "Serie A", C86="eng ENG", "Premier League", C86="de GER", "Bundesliga", C86="es ESP", "La Liga", C86="fr FRA", "Ligue 1")</f>
        <v>Premier League</v>
      </c>
      <c r="B86" t="s">
        <v>18</v>
      </c>
      <c r="C86" t="s">
        <v>150</v>
      </c>
      <c r="D86">
        <v>17</v>
      </c>
      <c r="E86">
        <v>38</v>
      </c>
      <c r="F86">
        <v>7</v>
      </c>
      <c r="G86">
        <v>15</v>
      </c>
      <c r="H86">
        <v>16</v>
      </c>
      <c r="I86">
        <v>37</v>
      </c>
      <c r="J86">
        <v>56</v>
      </c>
      <c r="K86">
        <v>-19</v>
      </c>
      <c r="L86">
        <v>36</v>
      </c>
      <c r="M86">
        <v>0.95</v>
      </c>
      <c r="N86">
        <v>39.9</v>
      </c>
      <c r="O86">
        <v>45.2</v>
      </c>
      <c r="P86">
        <v>-5.3</v>
      </c>
      <c r="Q86">
        <v>-0.14000000000000001</v>
      </c>
      <c r="R86" s="1">
        <v>30794</v>
      </c>
      <c r="S86" t="s">
        <v>1174</v>
      </c>
      <c r="T86" t="s">
        <v>1175</v>
      </c>
    </row>
    <row r="87" spans="1:20" x14ac:dyDescent="0.2">
      <c r="A87" t="str" cm="1">
        <f t="array" ref="A87">_xlfn.IFS(C87="it ITA", "Serie A", C87="eng ENG", "Premier League", C87="de GER", "Bundesliga", C87="es ESP", "La Liga", C87="fr FRA", "Ligue 1")</f>
        <v>Serie A</v>
      </c>
      <c r="B87" t="s">
        <v>1209</v>
      </c>
      <c r="C87" t="s">
        <v>147</v>
      </c>
      <c r="D87">
        <v>18</v>
      </c>
      <c r="E87">
        <v>38</v>
      </c>
      <c r="F87">
        <v>9</v>
      </c>
      <c r="G87">
        <v>8</v>
      </c>
      <c r="H87">
        <v>21</v>
      </c>
      <c r="I87">
        <v>40</v>
      </c>
      <c r="J87">
        <v>66</v>
      </c>
      <c r="K87">
        <v>-26</v>
      </c>
      <c r="L87">
        <v>35</v>
      </c>
      <c r="M87">
        <v>0.92</v>
      </c>
      <c r="N87">
        <v>34.6</v>
      </c>
      <c r="O87">
        <v>58.6</v>
      </c>
      <c r="P87">
        <v>-24</v>
      </c>
      <c r="Q87">
        <v>-0.63</v>
      </c>
      <c r="R87" s="1">
        <v>10788</v>
      </c>
      <c r="S87" t="s">
        <v>1176</v>
      </c>
      <c r="T87" t="s">
        <v>1177</v>
      </c>
    </row>
    <row r="88" spans="1:20" x14ac:dyDescent="0.2">
      <c r="A88" t="str" cm="1">
        <f t="array" ref="A88">_xlfn.IFS(C88="it ITA", "Serie A", C88="eng ENG", "Premier League", C88="de GER", "Bundesliga", C88="es ESP", "La Liga", C88="fr FRA", "Ligue 1")</f>
        <v>Bundesliga</v>
      </c>
      <c r="B88" t="s">
        <v>71</v>
      </c>
      <c r="C88" t="s">
        <v>160</v>
      </c>
      <c r="D88">
        <v>17</v>
      </c>
      <c r="E88">
        <v>34</v>
      </c>
      <c r="F88">
        <v>8</v>
      </c>
      <c r="G88">
        <v>7</v>
      </c>
      <c r="H88">
        <v>19</v>
      </c>
      <c r="I88">
        <v>29</v>
      </c>
      <c r="J88">
        <v>53</v>
      </c>
      <c r="K88">
        <v>-24</v>
      </c>
      <c r="L88">
        <v>31</v>
      </c>
      <c r="M88">
        <v>0.91</v>
      </c>
      <c r="N88">
        <v>37.700000000000003</v>
      </c>
      <c r="O88">
        <v>55.9</v>
      </c>
      <c r="P88">
        <v>-18.2</v>
      </c>
      <c r="Q88">
        <v>-0.54</v>
      </c>
      <c r="R88" s="1">
        <v>50657</v>
      </c>
      <c r="S88" t="s">
        <v>1178</v>
      </c>
      <c r="T88" t="s">
        <v>1179</v>
      </c>
    </row>
    <row r="89" spans="1:20" x14ac:dyDescent="0.2">
      <c r="A89" t="str" cm="1">
        <f t="array" ref="A89">_xlfn.IFS(C89="it ITA", "Serie A", C89="eng ENG", "Premier League", C89="de GER", "Bundesliga", C89="es ESP", "La Liga", C89="fr FRA", "Ligue 1")</f>
        <v>Ligue 1</v>
      </c>
      <c r="B89" t="s">
        <v>513</v>
      </c>
      <c r="C89" t="s">
        <v>157</v>
      </c>
      <c r="D89">
        <v>19</v>
      </c>
      <c r="E89">
        <v>38</v>
      </c>
      <c r="F89">
        <v>9</v>
      </c>
      <c r="G89">
        <v>6</v>
      </c>
      <c r="H89">
        <v>23</v>
      </c>
      <c r="I89">
        <v>32</v>
      </c>
      <c r="J89">
        <v>59</v>
      </c>
      <c r="K89">
        <v>-27</v>
      </c>
      <c r="L89">
        <v>33</v>
      </c>
      <c r="M89">
        <v>0.87</v>
      </c>
      <c r="N89">
        <v>38</v>
      </c>
      <c r="O89">
        <v>52</v>
      </c>
      <c r="P89">
        <v>-14</v>
      </c>
      <c r="Q89">
        <v>-0.37</v>
      </c>
      <c r="R89" s="1">
        <v>11723</v>
      </c>
      <c r="S89" t="s">
        <v>1180</v>
      </c>
      <c r="T89" t="s">
        <v>1181</v>
      </c>
    </row>
    <row r="90" spans="1:20" x14ac:dyDescent="0.2">
      <c r="A90" t="str" cm="1">
        <f t="array" ref="A90">_xlfn.IFS(C90="it ITA", "Serie A", C90="eng ENG", "Premier League", C90="de GER", "Bundesliga", C90="es ESP", "La Liga", C90="fr FRA", "Ligue 1")</f>
        <v>Premier League</v>
      </c>
      <c r="B90" t="s">
        <v>1029</v>
      </c>
      <c r="C90" t="s">
        <v>150</v>
      </c>
      <c r="D90">
        <v>18</v>
      </c>
      <c r="E90">
        <v>38</v>
      </c>
      <c r="F90">
        <v>8</v>
      </c>
      <c r="G90">
        <v>9</v>
      </c>
      <c r="H90">
        <v>21</v>
      </c>
      <c r="I90">
        <v>28</v>
      </c>
      <c r="J90">
        <v>56</v>
      </c>
      <c r="K90">
        <v>-28</v>
      </c>
      <c r="L90">
        <v>33</v>
      </c>
      <c r="M90">
        <v>0.87</v>
      </c>
      <c r="N90">
        <v>31.6</v>
      </c>
      <c r="O90">
        <v>58.6</v>
      </c>
      <c r="P90">
        <v>-27</v>
      </c>
      <c r="Q90">
        <v>-0.71</v>
      </c>
      <c r="R90" s="1">
        <v>20623</v>
      </c>
      <c r="S90" t="s">
        <v>1182</v>
      </c>
      <c r="T90" t="s">
        <v>1183</v>
      </c>
    </row>
    <row r="91" spans="1:20" x14ac:dyDescent="0.2">
      <c r="A91" t="str" cm="1">
        <f t="array" ref="A91">_xlfn.IFS(C91="it ITA", "Serie A", C91="eng ENG", "Premier League", C91="de GER", "Bundesliga", C91="es ESP", "La Liga", C91="fr FRA", "Ligue 1")</f>
        <v>Premier League</v>
      </c>
      <c r="B91" t="s">
        <v>857</v>
      </c>
      <c r="C91" t="s">
        <v>150</v>
      </c>
      <c r="D91">
        <v>19</v>
      </c>
      <c r="E91">
        <v>38</v>
      </c>
      <c r="F91">
        <v>7</v>
      </c>
      <c r="G91">
        <v>12</v>
      </c>
      <c r="H91">
        <v>19</v>
      </c>
      <c r="I91">
        <v>35</v>
      </c>
      <c r="J91">
        <v>68</v>
      </c>
      <c r="K91">
        <v>-33</v>
      </c>
      <c r="L91">
        <v>33</v>
      </c>
      <c r="M91">
        <v>0.87</v>
      </c>
      <c r="N91">
        <v>36.5</v>
      </c>
      <c r="O91">
        <v>62.5</v>
      </c>
      <c r="P91">
        <v>-26</v>
      </c>
      <c r="Q91">
        <v>-0.69</v>
      </c>
      <c r="R91" s="1">
        <v>29280</v>
      </c>
      <c r="S91" t="s">
        <v>1184</v>
      </c>
      <c r="T91" t="s">
        <v>1185</v>
      </c>
    </row>
    <row r="92" spans="1:20" x14ac:dyDescent="0.2">
      <c r="A92" t="str" cm="1">
        <f t="array" ref="A92">_xlfn.IFS(C92="it ITA", "Serie A", C92="eng ENG", "Premier League", C92="de GER", "Bundesliga", C92="es ESP", "La Liga", C92="fr FRA", "Ligue 1")</f>
        <v>Premier League</v>
      </c>
      <c r="B92" t="s">
        <v>698</v>
      </c>
      <c r="C92" t="s">
        <v>150</v>
      </c>
      <c r="D92">
        <v>20</v>
      </c>
      <c r="E92">
        <v>38</v>
      </c>
      <c r="F92">
        <v>6</v>
      </c>
      <c r="G92">
        <v>13</v>
      </c>
      <c r="H92">
        <v>19</v>
      </c>
      <c r="I92">
        <v>31</v>
      </c>
      <c r="J92">
        <v>56</v>
      </c>
      <c r="K92">
        <v>-25</v>
      </c>
      <c r="L92">
        <v>31</v>
      </c>
      <c r="M92">
        <v>0.82</v>
      </c>
      <c r="N92">
        <v>36.5</v>
      </c>
      <c r="O92">
        <v>47.9</v>
      </c>
      <c r="P92">
        <v>-11.4</v>
      </c>
      <c r="Q92">
        <v>-0.3</v>
      </c>
      <c r="R92" s="1">
        <v>24520</v>
      </c>
      <c r="S92" t="s">
        <v>1186</v>
      </c>
      <c r="T92" t="s">
        <v>997</v>
      </c>
    </row>
    <row r="93" spans="1:20" x14ac:dyDescent="0.2">
      <c r="A93" t="str" cm="1">
        <f t="array" ref="A93">_xlfn.IFS(C93="it ITA", "Serie A", C93="eng ENG", "Premier League", C93="de GER", "Bundesliga", C93="es ESP", "La Liga", C93="fr FRA", "Ligue 1")</f>
        <v>La Liga</v>
      </c>
      <c r="B93" t="s">
        <v>509</v>
      </c>
      <c r="C93" t="s">
        <v>165</v>
      </c>
      <c r="D93">
        <v>18</v>
      </c>
      <c r="E93">
        <v>38</v>
      </c>
      <c r="F93">
        <v>6</v>
      </c>
      <c r="G93">
        <v>11</v>
      </c>
      <c r="H93">
        <v>21</v>
      </c>
      <c r="I93">
        <v>38</v>
      </c>
      <c r="J93">
        <v>76</v>
      </c>
      <c r="K93">
        <v>-38</v>
      </c>
      <c r="L93">
        <v>29</v>
      </c>
      <c r="M93">
        <v>0.76</v>
      </c>
      <c r="N93">
        <v>51.6</v>
      </c>
      <c r="O93">
        <v>58.7</v>
      </c>
      <c r="P93">
        <v>-7.1</v>
      </c>
      <c r="Q93">
        <v>-0.19</v>
      </c>
      <c r="R93" s="1">
        <v>20542</v>
      </c>
      <c r="S93" t="s">
        <v>1187</v>
      </c>
      <c r="T93" t="s">
        <v>963</v>
      </c>
    </row>
    <row r="94" spans="1:20" x14ac:dyDescent="0.2">
      <c r="A94" t="str" cm="1">
        <f t="array" ref="A94">_xlfn.IFS(C94="it ITA", "Serie A", C94="eng ENG", "Premier League", C94="de GER", "Bundesliga", C94="es ESP", "La Liga", C94="fr FRA", "Ligue 1")</f>
        <v>Ligue 1</v>
      </c>
      <c r="B94" t="s">
        <v>93</v>
      </c>
      <c r="C94" t="s">
        <v>157</v>
      </c>
      <c r="D94">
        <v>20</v>
      </c>
      <c r="E94">
        <v>38</v>
      </c>
      <c r="F94">
        <v>6</v>
      </c>
      <c r="G94">
        <v>8</v>
      </c>
      <c r="H94">
        <v>24</v>
      </c>
      <c r="I94">
        <v>34</v>
      </c>
      <c r="J94">
        <v>76</v>
      </c>
      <c r="K94">
        <v>-42</v>
      </c>
      <c r="L94">
        <v>26</v>
      </c>
      <c r="M94">
        <v>0.68</v>
      </c>
      <c r="N94">
        <v>40.299999999999997</v>
      </c>
      <c r="O94">
        <v>71.3</v>
      </c>
      <c r="P94">
        <v>-31</v>
      </c>
      <c r="Q94">
        <v>-0.81</v>
      </c>
      <c r="R94" s="1">
        <v>14844</v>
      </c>
      <c r="S94" t="s">
        <v>1188</v>
      </c>
      <c r="T94" t="s">
        <v>1189</v>
      </c>
    </row>
    <row r="95" spans="1:20" x14ac:dyDescent="0.2">
      <c r="A95" t="str" cm="1">
        <f t="array" ref="A95">_xlfn.IFS(C95="it ITA", "Serie A", C95="eng ENG", "Premier League", C95="de GER", "Bundesliga", C95="es ESP", "La Liga", C95="fr FRA", "Ligue 1")</f>
        <v>Serie A</v>
      </c>
      <c r="B95" t="s">
        <v>519</v>
      </c>
      <c r="C95" t="s">
        <v>147</v>
      </c>
      <c r="D95">
        <v>19</v>
      </c>
      <c r="E95">
        <v>38</v>
      </c>
      <c r="F95">
        <v>7</v>
      </c>
      <c r="G95">
        <v>4</v>
      </c>
      <c r="H95">
        <v>27</v>
      </c>
      <c r="I95">
        <v>30</v>
      </c>
      <c r="J95">
        <v>78</v>
      </c>
      <c r="K95">
        <v>-48</v>
      </c>
      <c r="L95">
        <v>25</v>
      </c>
      <c r="M95">
        <v>0.66</v>
      </c>
      <c r="N95">
        <v>33</v>
      </c>
      <c r="O95">
        <v>70.2</v>
      </c>
      <c r="P95">
        <v>-37.1</v>
      </c>
      <c r="Q95">
        <v>-0.98</v>
      </c>
      <c r="R95" s="1">
        <v>17432</v>
      </c>
      <c r="S95" t="s">
        <v>1190</v>
      </c>
      <c r="T95" t="s">
        <v>1191</v>
      </c>
    </row>
    <row r="96" spans="1:20" x14ac:dyDescent="0.2">
      <c r="A96" t="str" cm="1">
        <f t="array" ref="A96">_xlfn.IFS(C96="it ITA", "Serie A", C96="eng ENG", "Premier League", C96="de GER", "Bundesliga", C96="es ESP", "La Liga", C96="fr FRA", "Ligue 1")</f>
        <v>Bundesliga</v>
      </c>
      <c r="B96" t="s">
        <v>355</v>
      </c>
      <c r="C96" t="s">
        <v>160</v>
      </c>
      <c r="D96">
        <v>18</v>
      </c>
      <c r="E96">
        <v>34</v>
      </c>
      <c r="F96">
        <v>5</v>
      </c>
      <c r="G96">
        <v>7</v>
      </c>
      <c r="H96">
        <v>22</v>
      </c>
      <c r="I96">
        <v>35</v>
      </c>
      <c r="J96">
        <v>70</v>
      </c>
      <c r="K96">
        <v>-35</v>
      </c>
      <c r="L96">
        <v>22</v>
      </c>
      <c r="M96">
        <v>0.65</v>
      </c>
      <c r="N96">
        <v>43.2</v>
      </c>
      <c r="O96">
        <v>67.400000000000006</v>
      </c>
      <c r="P96">
        <v>-24.1</v>
      </c>
      <c r="Q96">
        <v>-0.71</v>
      </c>
      <c r="R96" s="1">
        <v>48776</v>
      </c>
      <c r="S96" t="s">
        <v>1192</v>
      </c>
      <c r="T96" t="s">
        <v>1193</v>
      </c>
    </row>
    <row r="97" spans="1:20" x14ac:dyDescent="0.2">
      <c r="A97" t="str" cm="1">
        <f t="array" ref="A97">_xlfn.IFS(C97="it ITA", "Serie A", C97="eng ENG", "Premier League", C97="de GER", "Bundesliga", C97="es ESP", "La Liga", C97="fr FRA", "Ligue 1")</f>
        <v>La Liga</v>
      </c>
      <c r="B97" t="s">
        <v>521</v>
      </c>
      <c r="C97" t="s">
        <v>165</v>
      </c>
      <c r="D97">
        <v>19</v>
      </c>
      <c r="E97">
        <v>38</v>
      </c>
      <c r="F97">
        <v>5</v>
      </c>
      <c r="G97">
        <v>7</v>
      </c>
      <c r="H97">
        <v>26</v>
      </c>
      <c r="I97">
        <v>24</v>
      </c>
      <c r="J97">
        <v>74</v>
      </c>
      <c r="K97">
        <v>-50</v>
      </c>
      <c r="L97">
        <v>22</v>
      </c>
      <c r="M97">
        <v>0.57999999999999996</v>
      </c>
      <c r="N97">
        <v>38.5</v>
      </c>
      <c r="O97">
        <v>70.5</v>
      </c>
      <c r="P97">
        <v>-32</v>
      </c>
      <c r="Q97">
        <v>-0.84</v>
      </c>
      <c r="R97" s="1">
        <v>16183</v>
      </c>
      <c r="S97" t="s">
        <v>1194</v>
      </c>
      <c r="T97" t="s">
        <v>1195</v>
      </c>
    </row>
    <row r="98" spans="1:20" x14ac:dyDescent="0.2">
      <c r="A98" t="str" cm="1">
        <f t="array" ref="A98">_xlfn.IFS(C98="it ITA", "Serie A", C98="eng ENG", "Premier League", C98="de GER", "Bundesliga", C98="es ESP", "La Liga", C98="fr FRA", "Ligue 1")</f>
        <v>Serie A</v>
      </c>
      <c r="B98" t="s">
        <v>1210</v>
      </c>
      <c r="C98" t="s">
        <v>147</v>
      </c>
      <c r="D98">
        <v>20</v>
      </c>
      <c r="E98">
        <v>38</v>
      </c>
      <c r="F98">
        <v>6</v>
      </c>
      <c r="G98">
        <v>3</v>
      </c>
      <c r="H98">
        <v>29</v>
      </c>
      <c r="I98">
        <v>33</v>
      </c>
      <c r="J98">
        <v>84</v>
      </c>
      <c r="K98">
        <v>-51</v>
      </c>
      <c r="L98">
        <v>21</v>
      </c>
      <c r="M98">
        <v>0.55000000000000004</v>
      </c>
      <c r="N98">
        <v>38.299999999999997</v>
      </c>
      <c r="O98">
        <v>73.2</v>
      </c>
      <c r="P98">
        <v>-34.9</v>
      </c>
      <c r="Q98">
        <v>-0.92</v>
      </c>
      <c r="R98" s="1">
        <v>12200</v>
      </c>
      <c r="S98" t="s">
        <v>1196</v>
      </c>
      <c r="T98" t="s">
        <v>999</v>
      </c>
    </row>
    <row r="99" spans="1:20" x14ac:dyDescent="0.2">
      <c r="A99" t="str" cm="1">
        <f t="array" ref="A99">_xlfn.IFS(C99="it ITA", "Serie A", C99="eng ENG", "Premier League", C99="de GER", "Bundesliga", C99="es ESP", "La Liga", C99="fr FRA", "Ligue 1")</f>
        <v>La Liga</v>
      </c>
      <c r="B99" t="s">
        <v>512</v>
      </c>
      <c r="C99" t="s">
        <v>165</v>
      </c>
      <c r="D99">
        <v>20</v>
      </c>
      <c r="E99">
        <v>38</v>
      </c>
      <c r="F99">
        <v>5</v>
      </c>
      <c r="G99">
        <v>5</v>
      </c>
      <c r="H99">
        <v>28</v>
      </c>
      <c r="I99">
        <v>24</v>
      </c>
      <c r="J99">
        <v>61</v>
      </c>
      <c r="K99">
        <v>-37</v>
      </c>
      <c r="L99">
        <v>20</v>
      </c>
      <c r="M99">
        <v>0.53</v>
      </c>
      <c r="N99">
        <v>38.4</v>
      </c>
      <c r="O99">
        <v>59.4</v>
      </c>
      <c r="P99">
        <v>-21</v>
      </c>
      <c r="Q99">
        <v>-0.55000000000000004</v>
      </c>
      <c r="R99" s="1">
        <v>20333</v>
      </c>
      <c r="S99" t="s">
        <v>1197</v>
      </c>
      <c r="T99" t="s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3A7B-3029-D34B-9640-D02FD9EC85BB}">
  <dimension ref="A1:T99"/>
  <sheetViews>
    <sheetView workbookViewId="0">
      <selection activeCell="E15" sqref="E15"/>
    </sheetView>
  </sheetViews>
  <sheetFormatPr baseColWidth="10" defaultRowHeight="16" x14ac:dyDescent="0.2"/>
  <sheetData>
    <row r="1" spans="1:20" x14ac:dyDescent="0.2">
      <c r="A1" t="s">
        <v>1371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1035</v>
      </c>
      <c r="O1" t="s">
        <v>1036</v>
      </c>
      <c r="P1" t="s">
        <v>1037</v>
      </c>
      <c r="Q1" t="s">
        <v>1038</v>
      </c>
      <c r="R1" t="s">
        <v>144</v>
      </c>
      <c r="S1" t="s">
        <v>145</v>
      </c>
      <c r="T1" t="s">
        <v>146</v>
      </c>
    </row>
    <row r="2" spans="1:20" x14ac:dyDescent="0.2">
      <c r="A2" t="str" cm="1">
        <f t="array" ref="A2">_xlfn.IFS(C2="it ITA", "Serie A", C2="eng ENG", "Premier League", C2="de GER", "Bundesliga", C2="es ESP", "La Liga", C2="fr FRA", "Ligue 1")</f>
        <v>Premier League</v>
      </c>
      <c r="B2" t="s">
        <v>10</v>
      </c>
      <c r="C2" t="s">
        <v>150</v>
      </c>
      <c r="D2">
        <v>1</v>
      </c>
      <c r="E2">
        <v>38</v>
      </c>
      <c r="F2">
        <v>29</v>
      </c>
      <c r="G2">
        <v>6</v>
      </c>
      <c r="H2">
        <v>3</v>
      </c>
      <c r="I2">
        <v>99</v>
      </c>
      <c r="J2">
        <v>26</v>
      </c>
      <c r="K2">
        <v>73</v>
      </c>
      <c r="L2">
        <v>93</v>
      </c>
      <c r="M2">
        <v>2.4500000000000002</v>
      </c>
      <c r="N2">
        <v>88.7</v>
      </c>
      <c r="O2">
        <v>24.6</v>
      </c>
      <c r="P2">
        <v>64</v>
      </c>
      <c r="Q2">
        <v>1.68</v>
      </c>
      <c r="R2" s="1">
        <v>52774</v>
      </c>
      <c r="S2" t="s">
        <v>1211</v>
      </c>
      <c r="T2" t="s">
        <v>1040</v>
      </c>
    </row>
    <row r="3" spans="1:20" x14ac:dyDescent="0.2">
      <c r="A3" t="str" cm="1">
        <f t="array" ref="A3">_xlfn.IFS(C3="it ITA", "Serie A", C3="eng ENG", "Premier League", C3="de GER", "Bundesliga", C3="es ESP", "La Liga", C3="fr FRA", "Ligue 1")</f>
        <v>Premier League</v>
      </c>
      <c r="B3" t="s">
        <v>9</v>
      </c>
      <c r="C3" t="s">
        <v>150</v>
      </c>
      <c r="D3">
        <v>2</v>
      </c>
      <c r="E3">
        <v>38</v>
      </c>
      <c r="F3">
        <v>28</v>
      </c>
      <c r="G3">
        <v>8</v>
      </c>
      <c r="H3">
        <v>2</v>
      </c>
      <c r="I3">
        <v>94</v>
      </c>
      <c r="J3">
        <v>26</v>
      </c>
      <c r="K3">
        <v>68</v>
      </c>
      <c r="L3">
        <v>92</v>
      </c>
      <c r="M3">
        <v>2.42</v>
      </c>
      <c r="N3">
        <v>88.7</v>
      </c>
      <c r="O3">
        <v>33.799999999999997</v>
      </c>
      <c r="P3">
        <v>54.9</v>
      </c>
      <c r="Q3">
        <v>1.45</v>
      </c>
      <c r="R3" s="1">
        <v>53352</v>
      </c>
      <c r="S3" t="s">
        <v>1212</v>
      </c>
      <c r="T3" t="s">
        <v>1053</v>
      </c>
    </row>
    <row r="4" spans="1:20" x14ac:dyDescent="0.2">
      <c r="A4" t="str" cm="1">
        <f t="array" ref="A4">_xlfn.IFS(C4="it ITA", "Serie A", C4="eng ENG", "Premier League", C4="de GER", "Bundesliga", C4="es ESP", "La Liga", C4="fr FRA", "Ligue 1")</f>
        <v>Bundesliga</v>
      </c>
      <c r="B4" t="s">
        <v>63</v>
      </c>
      <c r="C4" t="s">
        <v>160</v>
      </c>
      <c r="D4">
        <v>1</v>
      </c>
      <c r="E4">
        <v>34</v>
      </c>
      <c r="F4">
        <v>24</v>
      </c>
      <c r="G4">
        <v>5</v>
      </c>
      <c r="H4">
        <v>5</v>
      </c>
      <c r="I4">
        <v>97</v>
      </c>
      <c r="J4">
        <v>37</v>
      </c>
      <c r="K4">
        <v>60</v>
      </c>
      <c r="L4">
        <v>77</v>
      </c>
      <c r="M4">
        <v>2.2599999999999998</v>
      </c>
      <c r="N4">
        <v>89</v>
      </c>
      <c r="O4">
        <v>36.299999999999997</v>
      </c>
      <c r="P4">
        <v>52.7</v>
      </c>
      <c r="Q4">
        <v>1.55</v>
      </c>
      <c r="R4" s="1">
        <v>33176</v>
      </c>
      <c r="S4" t="s">
        <v>1213</v>
      </c>
      <c r="T4" t="s">
        <v>713</v>
      </c>
    </row>
    <row r="5" spans="1:20" x14ac:dyDescent="0.2">
      <c r="A5" t="str" cm="1">
        <f t="array" ref="A5">_xlfn.IFS(C5="it ITA", "Serie A", C5="eng ENG", "Premier League", C5="de GER", "Bundesliga", C5="es ESP", "La Liga", C5="fr FRA", "Ligue 1")</f>
        <v>Ligue 1</v>
      </c>
      <c r="B5" t="s">
        <v>344</v>
      </c>
      <c r="C5" t="s">
        <v>157</v>
      </c>
      <c r="D5">
        <v>1</v>
      </c>
      <c r="E5">
        <v>38</v>
      </c>
      <c r="F5">
        <v>26</v>
      </c>
      <c r="G5">
        <v>8</v>
      </c>
      <c r="H5">
        <v>4</v>
      </c>
      <c r="I5">
        <v>90</v>
      </c>
      <c r="J5">
        <v>36</v>
      </c>
      <c r="K5">
        <v>54</v>
      </c>
      <c r="L5">
        <v>86</v>
      </c>
      <c r="M5">
        <v>2.2599999999999998</v>
      </c>
      <c r="N5">
        <v>76.7</v>
      </c>
      <c r="O5">
        <v>39.799999999999997</v>
      </c>
      <c r="P5">
        <v>36.9</v>
      </c>
      <c r="Q5">
        <v>0.97</v>
      </c>
      <c r="R5" s="1">
        <v>41589</v>
      </c>
      <c r="S5" t="s">
        <v>1214</v>
      </c>
      <c r="T5" t="s">
        <v>938</v>
      </c>
    </row>
    <row r="6" spans="1:20" x14ac:dyDescent="0.2">
      <c r="A6" t="str" cm="1">
        <f t="array" ref="A6">_xlfn.IFS(C6="it ITA", "Serie A", C6="eng ENG", "Premier League", C6="de GER", "Bundesliga", C6="es ESP", "La Liga", C6="fr FRA", "Ligue 1")</f>
        <v>La Liga</v>
      </c>
      <c r="B6" t="s">
        <v>24</v>
      </c>
      <c r="C6" t="s">
        <v>165</v>
      </c>
      <c r="D6">
        <v>1</v>
      </c>
      <c r="E6">
        <v>38</v>
      </c>
      <c r="F6">
        <v>26</v>
      </c>
      <c r="G6">
        <v>8</v>
      </c>
      <c r="H6">
        <v>4</v>
      </c>
      <c r="I6">
        <v>80</v>
      </c>
      <c r="J6">
        <v>31</v>
      </c>
      <c r="K6">
        <v>49</v>
      </c>
      <c r="L6">
        <v>86</v>
      </c>
      <c r="M6">
        <v>2.2599999999999998</v>
      </c>
      <c r="N6">
        <v>71.7</v>
      </c>
      <c r="O6">
        <v>43.9</v>
      </c>
      <c r="P6">
        <v>27.8</v>
      </c>
      <c r="Q6">
        <v>0.73</v>
      </c>
      <c r="R6" s="1">
        <v>41235</v>
      </c>
      <c r="S6" t="s">
        <v>1215</v>
      </c>
      <c r="T6" t="s">
        <v>869</v>
      </c>
    </row>
    <row r="7" spans="1:20" x14ac:dyDescent="0.2">
      <c r="A7" t="str" cm="1">
        <f t="array" ref="A7">_xlfn.IFS(C7="it ITA", "Serie A", C7="eng ENG", "Premier League", C7="de GER", "Bundesliga", C7="es ESP", "La Liga", C7="fr FRA", "Ligue 1")</f>
        <v>Serie A</v>
      </c>
      <c r="B7" t="s">
        <v>52</v>
      </c>
      <c r="C7" t="s">
        <v>147</v>
      </c>
      <c r="D7">
        <v>1</v>
      </c>
      <c r="E7">
        <v>38</v>
      </c>
      <c r="F7">
        <v>26</v>
      </c>
      <c r="G7">
        <v>8</v>
      </c>
      <c r="H7">
        <v>4</v>
      </c>
      <c r="I7">
        <v>69</v>
      </c>
      <c r="J7">
        <v>31</v>
      </c>
      <c r="K7">
        <v>38</v>
      </c>
      <c r="L7">
        <v>86</v>
      </c>
      <c r="M7">
        <v>2.2599999999999998</v>
      </c>
      <c r="N7">
        <v>59.7</v>
      </c>
      <c r="O7">
        <v>35.9</v>
      </c>
      <c r="P7">
        <v>23.8</v>
      </c>
      <c r="Q7">
        <v>0.63</v>
      </c>
      <c r="R7" s="1">
        <v>44015</v>
      </c>
      <c r="S7" t="s">
        <v>1216</v>
      </c>
      <c r="T7" t="s">
        <v>1168</v>
      </c>
    </row>
    <row r="8" spans="1:20" x14ac:dyDescent="0.2">
      <c r="A8" t="str" cm="1">
        <f t="array" ref="A8">_xlfn.IFS(C8="it ITA", "Serie A", C8="eng ENG", "Premier League", C8="de GER", "Bundesliga", C8="es ESP", "La Liga", C8="fr FRA", "Ligue 1")</f>
        <v>Serie A</v>
      </c>
      <c r="B8" t="s">
        <v>341</v>
      </c>
      <c r="C8" t="s">
        <v>147</v>
      </c>
      <c r="D8">
        <v>2</v>
      </c>
      <c r="E8">
        <v>38</v>
      </c>
      <c r="F8">
        <v>25</v>
      </c>
      <c r="G8">
        <v>9</v>
      </c>
      <c r="H8">
        <v>4</v>
      </c>
      <c r="I8">
        <v>84</v>
      </c>
      <c r="J8">
        <v>32</v>
      </c>
      <c r="K8">
        <v>52</v>
      </c>
      <c r="L8">
        <v>84</v>
      </c>
      <c r="M8">
        <v>2.21</v>
      </c>
      <c r="N8">
        <v>81.599999999999994</v>
      </c>
      <c r="O8">
        <v>39.1</v>
      </c>
      <c r="P8">
        <v>42.5</v>
      </c>
      <c r="Q8">
        <v>1.1200000000000001</v>
      </c>
      <c r="R8" s="1">
        <v>44473</v>
      </c>
      <c r="S8" t="s">
        <v>1217</v>
      </c>
      <c r="T8" t="s">
        <v>789</v>
      </c>
    </row>
    <row r="9" spans="1:20" x14ac:dyDescent="0.2">
      <c r="A9" t="str" cm="1">
        <f t="array" ref="A9">_xlfn.IFS(C9="it ITA", "Serie A", C9="eng ENG", "Premier League", C9="de GER", "Bundesliga", C9="es ESP", "La Liga", C9="fr FRA", "Ligue 1")</f>
        <v>Serie A</v>
      </c>
      <c r="B9" t="s">
        <v>53</v>
      </c>
      <c r="C9" t="s">
        <v>147</v>
      </c>
      <c r="D9">
        <v>3</v>
      </c>
      <c r="E9">
        <v>38</v>
      </c>
      <c r="F9">
        <v>24</v>
      </c>
      <c r="G9">
        <v>7</v>
      </c>
      <c r="H9">
        <v>7</v>
      </c>
      <c r="I9">
        <v>74</v>
      </c>
      <c r="J9">
        <v>31</v>
      </c>
      <c r="K9">
        <v>43</v>
      </c>
      <c r="L9">
        <v>79</v>
      </c>
      <c r="M9">
        <v>2.08</v>
      </c>
      <c r="N9">
        <v>57.8</v>
      </c>
      <c r="O9">
        <v>32.5</v>
      </c>
      <c r="P9">
        <v>25.3</v>
      </c>
      <c r="Q9">
        <v>0.67</v>
      </c>
      <c r="R9" s="1">
        <v>28119</v>
      </c>
      <c r="S9" t="s">
        <v>1218</v>
      </c>
      <c r="T9" t="s">
        <v>795</v>
      </c>
    </row>
    <row r="10" spans="1:20" x14ac:dyDescent="0.2">
      <c r="A10" t="str" cm="1">
        <f t="array" ref="A10">_xlfn.IFS(C10="it ITA", "Serie A", C10="eng ENG", "Premier League", C10="de GER", "Bundesliga", C10="es ESP", "La Liga", C10="fr FRA", "Ligue 1")</f>
        <v>Bundesliga</v>
      </c>
      <c r="B10" t="s">
        <v>65</v>
      </c>
      <c r="C10" t="s">
        <v>160</v>
      </c>
      <c r="D10">
        <v>2</v>
      </c>
      <c r="E10">
        <v>34</v>
      </c>
      <c r="F10">
        <v>22</v>
      </c>
      <c r="G10">
        <v>3</v>
      </c>
      <c r="H10">
        <v>9</v>
      </c>
      <c r="I10">
        <v>85</v>
      </c>
      <c r="J10">
        <v>52</v>
      </c>
      <c r="K10">
        <v>33</v>
      </c>
      <c r="L10">
        <v>69</v>
      </c>
      <c r="M10">
        <v>2.0299999999999998</v>
      </c>
      <c r="N10">
        <v>64</v>
      </c>
      <c r="O10">
        <v>46.3</v>
      </c>
      <c r="P10">
        <v>17.7</v>
      </c>
      <c r="Q10">
        <v>0.52</v>
      </c>
      <c r="R10" s="1">
        <v>41800</v>
      </c>
      <c r="S10" t="s">
        <v>1219</v>
      </c>
      <c r="T10" t="s">
        <v>1220</v>
      </c>
    </row>
    <row r="11" spans="1:20" x14ac:dyDescent="0.2">
      <c r="A11" t="str" cm="1">
        <f t="array" ref="A11">_xlfn.IFS(C11="it ITA", "Serie A", C11="eng ENG", "Premier League", C11="de GER", "Bundesliga", C11="es ESP", "La Liga", C11="fr FRA", "Ligue 1")</f>
        <v>Premier League</v>
      </c>
      <c r="B11" t="s">
        <v>4</v>
      </c>
      <c r="C11" t="s">
        <v>150</v>
      </c>
      <c r="D11">
        <v>3</v>
      </c>
      <c r="E11">
        <v>38</v>
      </c>
      <c r="F11">
        <v>21</v>
      </c>
      <c r="G11">
        <v>11</v>
      </c>
      <c r="H11">
        <v>6</v>
      </c>
      <c r="I11">
        <v>76</v>
      </c>
      <c r="J11">
        <v>33</v>
      </c>
      <c r="K11">
        <v>43</v>
      </c>
      <c r="L11">
        <v>74</v>
      </c>
      <c r="M11">
        <v>1.95</v>
      </c>
      <c r="N11">
        <v>63.4</v>
      </c>
      <c r="O11">
        <v>33.200000000000003</v>
      </c>
      <c r="P11">
        <v>30.1</v>
      </c>
      <c r="Q11">
        <v>0.79</v>
      </c>
      <c r="R11" s="1">
        <v>36443</v>
      </c>
      <c r="S11" t="s">
        <v>1221</v>
      </c>
      <c r="T11" t="s">
        <v>1222</v>
      </c>
    </row>
    <row r="12" spans="1:20" x14ac:dyDescent="0.2">
      <c r="A12" t="str" cm="1">
        <f t="array" ref="A12">_xlfn.IFS(C12="it ITA", "Serie A", C12="eng ENG", "Premier League", C12="de GER", "Bundesliga", C12="es ESP", "La Liga", C12="fr FRA", "Ligue 1")</f>
        <v>La Liga</v>
      </c>
      <c r="B12" t="s">
        <v>23</v>
      </c>
      <c r="C12" t="s">
        <v>165</v>
      </c>
      <c r="D12">
        <v>2</v>
      </c>
      <c r="E12">
        <v>38</v>
      </c>
      <c r="F12">
        <v>21</v>
      </c>
      <c r="G12">
        <v>10</v>
      </c>
      <c r="H12">
        <v>7</v>
      </c>
      <c r="I12">
        <v>68</v>
      </c>
      <c r="J12">
        <v>38</v>
      </c>
      <c r="K12">
        <v>30</v>
      </c>
      <c r="L12">
        <v>73</v>
      </c>
      <c r="M12">
        <v>1.92</v>
      </c>
      <c r="N12">
        <v>63.4</v>
      </c>
      <c r="O12">
        <v>34.4</v>
      </c>
      <c r="P12">
        <v>29</v>
      </c>
      <c r="Q12">
        <v>0.76</v>
      </c>
      <c r="R12" s="1">
        <v>53982</v>
      </c>
      <c r="S12" t="s">
        <v>1223</v>
      </c>
      <c r="T12" t="s">
        <v>901</v>
      </c>
    </row>
    <row r="13" spans="1:20" x14ac:dyDescent="0.2">
      <c r="A13" t="str" cm="1">
        <f t="array" ref="A13">_xlfn.IFS(C13="it ITA", "Serie A", C13="eng ENG", "Premier League", C13="de GER", "Bundesliga", C13="es ESP", "La Liga", C13="fr FRA", "Ligue 1")</f>
        <v>Bundesliga</v>
      </c>
      <c r="B13" t="s">
        <v>62</v>
      </c>
      <c r="C13" t="s">
        <v>160</v>
      </c>
      <c r="D13">
        <v>3</v>
      </c>
      <c r="E13">
        <v>34</v>
      </c>
      <c r="F13">
        <v>19</v>
      </c>
      <c r="G13">
        <v>7</v>
      </c>
      <c r="H13">
        <v>8</v>
      </c>
      <c r="I13">
        <v>80</v>
      </c>
      <c r="J13">
        <v>47</v>
      </c>
      <c r="K13">
        <v>33</v>
      </c>
      <c r="L13">
        <v>64</v>
      </c>
      <c r="M13">
        <v>1.88</v>
      </c>
      <c r="N13">
        <v>62.6</v>
      </c>
      <c r="O13">
        <v>44</v>
      </c>
      <c r="P13">
        <v>18.600000000000001</v>
      </c>
      <c r="Q13">
        <v>0.55000000000000004</v>
      </c>
      <c r="R13" s="1">
        <v>17356</v>
      </c>
      <c r="S13" t="s">
        <v>1224</v>
      </c>
      <c r="T13" t="s">
        <v>1089</v>
      </c>
    </row>
    <row r="14" spans="1:20" x14ac:dyDescent="0.2">
      <c r="A14" t="str" cm="1">
        <f t="array" ref="A14">_xlfn.IFS(C14="it ITA", "Serie A", C14="eng ENG", "Premier League", C14="de GER", "Bundesliga", C14="es ESP", "La Liga", C14="fr FRA", "Ligue 1")</f>
        <v>Premier League</v>
      </c>
      <c r="B14" t="s">
        <v>350</v>
      </c>
      <c r="C14" t="s">
        <v>150</v>
      </c>
      <c r="D14">
        <v>4</v>
      </c>
      <c r="E14">
        <v>38</v>
      </c>
      <c r="F14">
        <v>22</v>
      </c>
      <c r="G14">
        <v>5</v>
      </c>
      <c r="H14">
        <v>11</v>
      </c>
      <c r="I14">
        <v>69</v>
      </c>
      <c r="J14">
        <v>40</v>
      </c>
      <c r="K14">
        <v>29</v>
      </c>
      <c r="L14">
        <v>71</v>
      </c>
      <c r="M14">
        <v>1.87</v>
      </c>
      <c r="N14">
        <v>61.2</v>
      </c>
      <c r="O14">
        <v>39.299999999999997</v>
      </c>
      <c r="P14">
        <v>21.9</v>
      </c>
      <c r="Q14">
        <v>0.57999999999999996</v>
      </c>
      <c r="R14" s="1">
        <v>56523</v>
      </c>
      <c r="S14" t="s">
        <v>1225</v>
      </c>
      <c r="T14" t="s">
        <v>715</v>
      </c>
    </row>
    <row r="15" spans="1:20" x14ac:dyDescent="0.2">
      <c r="A15" t="str" cm="1">
        <f t="array" ref="A15">_xlfn.IFS(C15="it ITA", "Serie A", C15="eng ENG", "Premier League", C15="de GER", "Bundesliga", C15="es ESP", "La Liga", C15="fr FRA", "Ligue 1")</f>
        <v>Ligue 1</v>
      </c>
      <c r="B15" t="s">
        <v>101</v>
      </c>
      <c r="C15" t="s">
        <v>157</v>
      </c>
      <c r="D15">
        <v>2</v>
      </c>
      <c r="E15">
        <v>38</v>
      </c>
      <c r="F15">
        <v>21</v>
      </c>
      <c r="G15">
        <v>8</v>
      </c>
      <c r="H15">
        <v>9</v>
      </c>
      <c r="I15">
        <v>63</v>
      </c>
      <c r="J15">
        <v>38</v>
      </c>
      <c r="K15">
        <v>25</v>
      </c>
      <c r="L15">
        <v>71</v>
      </c>
      <c r="M15">
        <v>1.87</v>
      </c>
      <c r="N15">
        <v>58.2</v>
      </c>
      <c r="O15">
        <v>39</v>
      </c>
      <c r="P15">
        <v>19.2</v>
      </c>
      <c r="Q15">
        <v>0.51</v>
      </c>
      <c r="R15" s="1">
        <v>51755</v>
      </c>
      <c r="S15" t="s">
        <v>1226</v>
      </c>
      <c r="T15" t="s">
        <v>1111</v>
      </c>
    </row>
    <row r="16" spans="1:20" x14ac:dyDescent="0.2">
      <c r="A16" t="str" cm="1">
        <f t="array" ref="A16">_xlfn.IFS(C16="it ITA", "Serie A", C16="eng ENG", "Premier League", C16="de GER", "Bundesliga", C16="es ESP", "La Liga", C16="fr FRA", "Ligue 1")</f>
        <v>La Liga</v>
      </c>
      <c r="B16" t="s">
        <v>25</v>
      </c>
      <c r="C16" t="s">
        <v>165</v>
      </c>
      <c r="D16">
        <v>3</v>
      </c>
      <c r="E16">
        <v>38</v>
      </c>
      <c r="F16">
        <v>21</v>
      </c>
      <c r="G16">
        <v>8</v>
      </c>
      <c r="H16">
        <v>9</v>
      </c>
      <c r="I16">
        <v>65</v>
      </c>
      <c r="J16">
        <v>43</v>
      </c>
      <c r="K16">
        <v>22</v>
      </c>
      <c r="L16">
        <v>71</v>
      </c>
      <c r="M16">
        <v>1.87</v>
      </c>
      <c r="N16">
        <v>54.4</v>
      </c>
      <c r="O16">
        <v>33.4</v>
      </c>
      <c r="P16">
        <v>21.1</v>
      </c>
      <c r="Q16">
        <v>0.56000000000000005</v>
      </c>
      <c r="R16" s="1">
        <v>48039</v>
      </c>
      <c r="S16" t="s">
        <v>1227</v>
      </c>
      <c r="T16" t="s">
        <v>1049</v>
      </c>
    </row>
    <row r="17" spans="1:20" x14ac:dyDescent="0.2">
      <c r="A17" t="str" cm="1">
        <f t="array" ref="A17">_xlfn.IFS(C17="it ITA", "Serie A", C17="eng ENG", "Premier League", C17="de GER", "Bundesliga", C17="es ESP", "La Liga", C17="fr FRA", "Ligue 1")</f>
        <v>La Liga</v>
      </c>
      <c r="B17" t="s">
        <v>27</v>
      </c>
      <c r="C17" t="s">
        <v>165</v>
      </c>
      <c r="D17">
        <v>4</v>
      </c>
      <c r="E17">
        <v>38</v>
      </c>
      <c r="F17">
        <v>18</v>
      </c>
      <c r="G17">
        <v>16</v>
      </c>
      <c r="H17">
        <v>4</v>
      </c>
      <c r="I17">
        <v>53</v>
      </c>
      <c r="J17">
        <v>30</v>
      </c>
      <c r="K17">
        <v>23</v>
      </c>
      <c r="L17">
        <v>70</v>
      </c>
      <c r="M17">
        <v>1.84</v>
      </c>
      <c r="N17">
        <v>42.4</v>
      </c>
      <c r="O17">
        <v>36.9</v>
      </c>
      <c r="P17">
        <v>5.4</v>
      </c>
      <c r="Q17">
        <v>0.14000000000000001</v>
      </c>
      <c r="R17" s="1">
        <v>29756</v>
      </c>
      <c r="S17" t="s">
        <v>1228</v>
      </c>
      <c r="T17" t="s">
        <v>1105</v>
      </c>
    </row>
    <row r="18" spans="1:20" x14ac:dyDescent="0.2">
      <c r="A18" t="str" cm="1">
        <f t="array" ref="A18">_xlfn.IFS(C18="it ITA", "Serie A", C18="eng ENG", "Premier League", C18="de GER", "Bundesliga", C18="es ESP", "La Liga", C18="fr FRA", "Ligue 1")</f>
        <v>Serie A</v>
      </c>
      <c r="B18" t="s">
        <v>49</v>
      </c>
      <c r="C18" t="s">
        <v>147</v>
      </c>
      <c r="D18">
        <v>4</v>
      </c>
      <c r="E18">
        <v>38</v>
      </c>
      <c r="F18">
        <v>20</v>
      </c>
      <c r="G18">
        <v>10</v>
      </c>
      <c r="H18">
        <v>8</v>
      </c>
      <c r="I18">
        <v>57</v>
      </c>
      <c r="J18">
        <v>37</v>
      </c>
      <c r="K18">
        <v>20</v>
      </c>
      <c r="L18">
        <v>70</v>
      </c>
      <c r="M18">
        <v>1.84</v>
      </c>
      <c r="N18">
        <v>51.4</v>
      </c>
      <c r="O18">
        <v>38.1</v>
      </c>
      <c r="P18">
        <v>13.4</v>
      </c>
      <c r="Q18">
        <v>0.35</v>
      </c>
      <c r="R18" s="1">
        <v>22621</v>
      </c>
      <c r="S18" t="s">
        <v>1229</v>
      </c>
      <c r="T18" t="s">
        <v>882</v>
      </c>
    </row>
    <row r="19" spans="1:20" x14ac:dyDescent="0.2">
      <c r="A19" t="str" cm="1">
        <f t="array" ref="A19">_xlfn.IFS(C19="it ITA", "Serie A", C19="eng ENG", "Premier League", C19="de GER", "Bundesliga", C19="es ESP", "La Liga", C19="fr FRA", "Ligue 1")</f>
        <v>Ligue 1</v>
      </c>
      <c r="B19" t="s">
        <v>90</v>
      </c>
      <c r="C19" t="s">
        <v>157</v>
      </c>
      <c r="D19">
        <v>3</v>
      </c>
      <c r="E19">
        <v>38</v>
      </c>
      <c r="F19">
        <v>20</v>
      </c>
      <c r="G19">
        <v>9</v>
      </c>
      <c r="H19">
        <v>9</v>
      </c>
      <c r="I19">
        <v>65</v>
      </c>
      <c r="J19">
        <v>40</v>
      </c>
      <c r="K19">
        <v>25</v>
      </c>
      <c r="L19">
        <v>69</v>
      </c>
      <c r="M19">
        <v>1.82</v>
      </c>
      <c r="N19">
        <v>59.4</v>
      </c>
      <c r="O19">
        <v>40.299999999999997</v>
      </c>
      <c r="P19">
        <v>19</v>
      </c>
      <c r="Q19">
        <v>0.5</v>
      </c>
      <c r="R19" s="1">
        <v>5877</v>
      </c>
      <c r="S19" t="s">
        <v>1230</v>
      </c>
      <c r="T19" t="s">
        <v>1231</v>
      </c>
    </row>
    <row r="20" spans="1:20" x14ac:dyDescent="0.2">
      <c r="A20" t="str" cm="1">
        <f t="array" ref="A20">_xlfn.IFS(C20="it ITA", "Serie A", C20="eng ENG", "Premier League", C20="de GER", "Bundesliga", C20="es ESP", "La Liga", C20="fr FRA", "Ligue 1")</f>
        <v>Premier League</v>
      </c>
      <c r="B20" t="s">
        <v>0</v>
      </c>
      <c r="C20" t="s">
        <v>150</v>
      </c>
      <c r="D20">
        <v>5</v>
      </c>
      <c r="E20">
        <v>38</v>
      </c>
      <c r="F20">
        <v>22</v>
      </c>
      <c r="G20">
        <v>3</v>
      </c>
      <c r="H20">
        <v>13</v>
      </c>
      <c r="I20">
        <v>61</v>
      </c>
      <c r="J20">
        <v>48</v>
      </c>
      <c r="K20">
        <v>13</v>
      </c>
      <c r="L20">
        <v>69</v>
      </c>
      <c r="M20">
        <v>1.82</v>
      </c>
      <c r="N20">
        <v>60.5</v>
      </c>
      <c r="O20">
        <v>45.7</v>
      </c>
      <c r="P20">
        <v>14.9</v>
      </c>
      <c r="Q20">
        <v>0.39</v>
      </c>
      <c r="R20" s="1">
        <v>59665</v>
      </c>
      <c r="S20" t="s">
        <v>1232</v>
      </c>
      <c r="T20" t="s">
        <v>1233</v>
      </c>
    </row>
    <row r="21" spans="1:20" x14ac:dyDescent="0.2">
      <c r="A21" t="str" cm="1">
        <f t="array" ref="A21">_xlfn.IFS(C21="it ITA", "Serie A", C21="eng ENG", "Premier League", C21="de GER", "Bundesliga", C21="es ESP", "La Liga", C21="fr FRA", "Ligue 1")</f>
        <v>Ligue 1</v>
      </c>
      <c r="B21" t="s">
        <v>131</v>
      </c>
      <c r="C21" t="s">
        <v>157</v>
      </c>
      <c r="D21">
        <v>4</v>
      </c>
      <c r="E21">
        <v>38</v>
      </c>
      <c r="F21">
        <v>20</v>
      </c>
      <c r="G21">
        <v>6</v>
      </c>
      <c r="H21">
        <v>12</v>
      </c>
      <c r="I21">
        <v>82</v>
      </c>
      <c r="J21">
        <v>40</v>
      </c>
      <c r="K21">
        <v>42</v>
      </c>
      <c r="L21">
        <v>66</v>
      </c>
      <c r="M21">
        <v>1.74</v>
      </c>
      <c r="N21">
        <v>62.8</v>
      </c>
      <c r="O21">
        <v>42.9</v>
      </c>
      <c r="P21">
        <v>19.8</v>
      </c>
      <c r="Q21">
        <v>0.52</v>
      </c>
      <c r="R21" s="1">
        <v>25493</v>
      </c>
      <c r="S21" t="s">
        <v>1234</v>
      </c>
      <c r="T21" t="s">
        <v>1162</v>
      </c>
    </row>
    <row r="22" spans="1:20" x14ac:dyDescent="0.2">
      <c r="A22" t="str" cm="1">
        <f t="array" ref="A22">_xlfn.IFS(C22="it ITA", "Serie A", C22="eng ENG", "Premier League", C22="de GER", "Bundesliga", C22="es ESP", "La Liga", C22="fr FRA", "Ligue 1")</f>
        <v>Ligue 1</v>
      </c>
      <c r="B22" t="s">
        <v>680</v>
      </c>
      <c r="C22" t="s">
        <v>157</v>
      </c>
      <c r="D22">
        <v>5</v>
      </c>
      <c r="E22">
        <v>38</v>
      </c>
      <c r="F22">
        <v>20</v>
      </c>
      <c r="G22">
        <v>7</v>
      </c>
      <c r="H22">
        <v>11</v>
      </c>
      <c r="I22">
        <v>52</v>
      </c>
      <c r="J22">
        <v>36</v>
      </c>
      <c r="K22">
        <v>16</v>
      </c>
      <c r="L22">
        <v>66</v>
      </c>
      <c r="M22">
        <v>1.74</v>
      </c>
      <c r="N22">
        <v>55.6</v>
      </c>
      <c r="O22">
        <v>42.5</v>
      </c>
      <c r="P22">
        <v>13.1</v>
      </c>
      <c r="Q22">
        <v>0.35</v>
      </c>
      <c r="R22" s="1">
        <v>16055</v>
      </c>
      <c r="S22" t="s">
        <v>1235</v>
      </c>
      <c r="T22" t="s">
        <v>1092</v>
      </c>
    </row>
    <row r="23" spans="1:20" x14ac:dyDescent="0.2">
      <c r="A23" t="str" cm="1">
        <f t="array" ref="A23">_xlfn.IFS(C23="it ITA", "Serie A", C23="eng ENG", "Premier League", C23="de GER", "Bundesliga", C23="es ESP", "La Liga", C23="fr FRA", "Ligue 1")</f>
        <v>Bundesliga</v>
      </c>
      <c r="B23" t="s">
        <v>1198</v>
      </c>
      <c r="C23" t="s">
        <v>160</v>
      </c>
      <c r="D23">
        <v>4</v>
      </c>
      <c r="E23">
        <v>34</v>
      </c>
      <c r="F23">
        <v>17</v>
      </c>
      <c r="G23">
        <v>7</v>
      </c>
      <c r="H23">
        <v>10</v>
      </c>
      <c r="I23">
        <v>72</v>
      </c>
      <c r="J23">
        <v>37</v>
      </c>
      <c r="K23">
        <v>35</v>
      </c>
      <c r="L23">
        <v>58</v>
      </c>
      <c r="M23">
        <v>1.71</v>
      </c>
      <c r="N23">
        <v>64.5</v>
      </c>
      <c r="O23">
        <v>40.1</v>
      </c>
      <c r="P23">
        <v>24.5</v>
      </c>
      <c r="Q23">
        <v>0.72</v>
      </c>
      <c r="R23" s="1">
        <v>22124</v>
      </c>
      <c r="S23" t="s">
        <v>1236</v>
      </c>
      <c r="T23" t="s">
        <v>1076</v>
      </c>
    </row>
    <row r="24" spans="1:20" x14ac:dyDescent="0.2">
      <c r="A24" t="str" cm="1">
        <f t="array" ref="A24">_xlfn.IFS(C24="it ITA", "Serie A", C24="eng ENG", "Premier League", C24="de GER", "Bundesliga", C24="es ESP", "La Liga", C24="fr FRA", "Ligue 1")</f>
        <v>La Liga</v>
      </c>
      <c r="B24" t="s">
        <v>109</v>
      </c>
      <c r="C24" t="s">
        <v>165</v>
      </c>
      <c r="D24">
        <v>5</v>
      </c>
      <c r="E24">
        <v>38</v>
      </c>
      <c r="F24">
        <v>19</v>
      </c>
      <c r="G24">
        <v>8</v>
      </c>
      <c r="H24">
        <v>11</v>
      </c>
      <c r="I24">
        <v>62</v>
      </c>
      <c r="J24">
        <v>40</v>
      </c>
      <c r="K24">
        <v>22</v>
      </c>
      <c r="L24">
        <v>65</v>
      </c>
      <c r="M24">
        <v>1.71</v>
      </c>
      <c r="N24">
        <v>53.5</v>
      </c>
      <c r="O24">
        <v>43.4</v>
      </c>
      <c r="P24">
        <v>10.1</v>
      </c>
      <c r="Q24">
        <v>0.27</v>
      </c>
      <c r="R24" s="1">
        <v>41749</v>
      </c>
      <c r="S24" t="s">
        <v>1237</v>
      </c>
      <c r="T24" t="s">
        <v>1238</v>
      </c>
    </row>
    <row r="25" spans="1:20" x14ac:dyDescent="0.2">
      <c r="A25" t="str" cm="1">
        <f t="array" ref="A25">_xlfn.IFS(C25="it ITA", "Serie A", C25="eng ENG", "Premier League", C25="de GER", "Bundesliga", C25="es ESP", "La Liga", C25="fr FRA", "Ligue 1")</f>
        <v>Serie A</v>
      </c>
      <c r="B25" t="s">
        <v>50</v>
      </c>
      <c r="C25" t="s">
        <v>147</v>
      </c>
      <c r="D25">
        <v>5</v>
      </c>
      <c r="E25">
        <v>38</v>
      </c>
      <c r="F25">
        <v>18</v>
      </c>
      <c r="G25">
        <v>10</v>
      </c>
      <c r="H25">
        <v>10</v>
      </c>
      <c r="I25">
        <v>77</v>
      </c>
      <c r="J25">
        <v>58</v>
      </c>
      <c r="K25">
        <v>19</v>
      </c>
      <c r="L25">
        <v>64</v>
      </c>
      <c r="M25">
        <v>1.68</v>
      </c>
      <c r="N25">
        <v>55.3</v>
      </c>
      <c r="O25">
        <v>47.7</v>
      </c>
      <c r="P25">
        <v>7.6</v>
      </c>
      <c r="Q25">
        <v>0.2</v>
      </c>
      <c r="R25" s="1">
        <v>23263</v>
      </c>
      <c r="S25" t="s">
        <v>1239</v>
      </c>
      <c r="T25" t="s">
        <v>1060</v>
      </c>
    </row>
    <row r="26" spans="1:20" x14ac:dyDescent="0.2">
      <c r="A26" t="str" cm="1">
        <f t="array" ref="A26">_xlfn.IFS(C26="it ITA", "Serie A", C26="eng ENG", "Premier League", C26="de GER", "Bundesliga", C26="es ESP", "La Liga", C26="fr FRA", "Ligue 1")</f>
        <v>Bundesliga</v>
      </c>
      <c r="B26" t="s">
        <v>1364</v>
      </c>
      <c r="C26" t="s">
        <v>160</v>
      </c>
      <c r="D26">
        <v>5</v>
      </c>
      <c r="E26">
        <v>34</v>
      </c>
      <c r="F26">
        <v>16</v>
      </c>
      <c r="G26">
        <v>9</v>
      </c>
      <c r="H26">
        <v>9</v>
      </c>
      <c r="I26">
        <v>50</v>
      </c>
      <c r="J26">
        <v>44</v>
      </c>
      <c r="K26">
        <v>6</v>
      </c>
      <c r="L26">
        <v>57</v>
      </c>
      <c r="M26">
        <v>1.68</v>
      </c>
      <c r="N26">
        <v>47</v>
      </c>
      <c r="O26">
        <v>38.5</v>
      </c>
      <c r="P26">
        <v>8.5</v>
      </c>
      <c r="Q26">
        <v>0.25</v>
      </c>
      <c r="R26" s="1">
        <v>14046</v>
      </c>
      <c r="S26" t="s">
        <v>1240</v>
      </c>
      <c r="T26" t="s">
        <v>1241</v>
      </c>
    </row>
    <row r="27" spans="1:20" x14ac:dyDescent="0.2">
      <c r="A27" t="str" cm="1">
        <f t="array" ref="A27">_xlfn.IFS(C27="it ITA", "Serie A", C27="eng ENG", "Premier League", C27="de GER", "Bundesliga", C27="es ESP", "La Liga", C27="fr FRA", "Ligue 1")</f>
        <v>Ligue 1</v>
      </c>
      <c r="B27" t="s">
        <v>94</v>
      </c>
      <c r="C27" t="s">
        <v>157</v>
      </c>
      <c r="D27">
        <v>6</v>
      </c>
      <c r="E27">
        <v>38</v>
      </c>
      <c r="F27">
        <v>17</v>
      </c>
      <c r="G27">
        <v>12</v>
      </c>
      <c r="H27">
        <v>9</v>
      </c>
      <c r="I27">
        <v>60</v>
      </c>
      <c r="J27">
        <v>43</v>
      </c>
      <c r="K27">
        <v>17</v>
      </c>
      <c r="L27">
        <v>63</v>
      </c>
      <c r="M27">
        <v>1.66</v>
      </c>
      <c r="N27">
        <v>55.6</v>
      </c>
      <c r="O27">
        <v>43.5</v>
      </c>
      <c r="P27">
        <v>12.1</v>
      </c>
      <c r="Q27">
        <v>0.32</v>
      </c>
      <c r="R27" s="1">
        <v>23555</v>
      </c>
      <c r="S27" t="s">
        <v>1242</v>
      </c>
      <c r="T27" t="s">
        <v>1243</v>
      </c>
    </row>
    <row r="28" spans="1:20" x14ac:dyDescent="0.2">
      <c r="A28" t="str" cm="1">
        <f t="array" ref="A28">_xlfn.IFS(C28="it ITA", "Serie A", C28="eng ENG", "Premier League", C28="de GER", "Bundesliga", C28="es ESP", "La Liga", C28="fr FRA", "Ligue 1")</f>
        <v>Serie A</v>
      </c>
      <c r="B28" t="s">
        <v>57</v>
      </c>
      <c r="C28" t="s">
        <v>147</v>
      </c>
      <c r="D28">
        <v>6</v>
      </c>
      <c r="E28">
        <v>38</v>
      </c>
      <c r="F28">
        <v>18</v>
      </c>
      <c r="G28">
        <v>9</v>
      </c>
      <c r="H28">
        <v>11</v>
      </c>
      <c r="I28">
        <v>59</v>
      </c>
      <c r="J28">
        <v>43</v>
      </c>
      <c r="K28">
        <v>16</v>
      </c>
      <c r="L28">
        <v>63</v>
      </c>
      <c r="M28">
        <v>1.66</v>
      </c>
      <c r="N28">
        <v>65.099999999999994</v>
      </c>
      <c r="O28">
        <v>38.4</v>
      </c>
      <c r="P28">
        <v>26.8</v>
      </c>
      <c r="Q28">
        <v>0.7</v>
      </c>
      <c r="R28" s="1">
        <v>41929</v>
      </c>
      <c r="S28" t="s">
        <v>1244</v>
      </c>
      <c r="T28" t="s">
        <v>1245</v>
      </c>
    </row>
    <row r="29" spans="1:20" x14ac:dyDescent="0.2">
      <c r="A29" t="str" cm="1">
        <f t="array" ref="A29">_xlfn.IFS(C29="it ITA", "Serie A", C29="eng ENG", "Premier League", C29="de GER", "Bundesliga", C29="es ESP", "La Liga", C29="fr FRA", "Ligue 1")</f>
        <v>Ligue 1</v>
      </c>
      <c r="B29" t="s">
        <v>91</v>
      </c>
      <c r="C29" t="s">
        <v>157</v>
      </c>
      <c r="D29">
        <v>7</v>
      </c>
      <c r="E29">
        <v>38</v>
      </c>
      <c r="F29">
        <v>17</v>
      </c>
      <c r="G29">
        <v>11</v>
      </c>
      <c r="H29">
        <v>10</v>
      </c>
      <c r="I29">
        <v>62</v>
      </c>
      <c r="J29">
        <v>48</v>
      </c>
      <c r="K29">
        <v>14</v>
      </c>
      <c r="L29">
        <v>62</v>
      </c>
      <c r="M29">
        <v>1.63</v>
      </c>
      <c r="N29">
        <v>50.2</v>
      </c>
      <c r="O29">
        <v>42.7</v>
      </c>
      <c r="P29">
        <v>7.5</v>
      </c>
      <c r="Q29">
        <v>0.2</v>
      </c>
      <c r="R29" s="1">
        <v>28950</v>
      </c>
      <c r="S29" t="s">
        <v>1246</v>
      </c>
      <c r="T29" t="s">
        <v>1247</v>
      </c>
    </row>
    <row r="30" spans="1:20" x14ac:dyDescent="0.2">
      <c r="A30" t="str" cm="1">
        <f t="array" ref="A30">_xlfn.IFS(C30="it ITA", "Serie A", C30="eng ENG", "Premier League", C30="de GER", "Bundesliga", C30="es ESP", "La Liga", C30="fr FRA", "Ligue 1")</f>
        <v>Serie A</v>
      </c>
      <c r="B30" t="s">
        <v>123</v>
      </c>
      <c r="C30" t="s">
        <v>147</v>
      </c>
      <c r="D30">
        <v>7</v>
      </c>
      <c r="E30">
        <v>38</v>
      </c>
      <c r="F30">
        <v>19</v>
      </c>
      <c r="G30">
        <v>5</v>
      </c>
      <c r="H30">
        <v>14</v>
      </c>
      <c r="I30">
        <v>59</v>
      </c>
      <c r="J30">
        <v>51</v>
      </c>
      <c r="K30">
        <v>8</v>
      </c>
      <c r="L30">
        <v>62</v>
      </c>
      <c r="M30">
        <v>1.63</v>
      </c>
      <c r="N30">
        <v>60</v>
      </c>
      <c r="O30">
        <v>40.6</v>
      </c>
      <c r="P30">
        <v>19.399999999999999</v>
      </c>
      <c r="Q30">
        <v>0.51</v>
      </c>
      <c r="R30" s="1">
        <v>21107</v>
      </c>
      <c r="S30" t="s">
        <v>1248</v>
      </c>
      <c r="T30" t="s">
        <v>1249</v>
      </c>
    </row>
    <row r="31" spans="1:20" x14ac:dyDescent="0.2">
      <c r="A31" t="str" cm="1">
        <f t="array" ref="A31">_xlfn.IFS(C31="it ITA", "Serie A", C31="eng ENG", "Premier League", C31="de GER", "Bundesliga", C31="es ESP", "La Liga", C31="fr FRA", "Ligue 1")</f>
        <v>La Liga</v>
      </c>
      <c r="B31" t="s">
        <v>32</v>
      </c>
      <c r="C31" t="s">
        <v>165</v>
      </c>
      <c r="D31">
        <v>6</v>
      </c>
      <c r="E31">
        <v>38</v>
      </c>
      <c r="F31">
        <v>17</v>
      </c>
      <c r="G31">
        <v>11</v>
      </c>
      <c r="H31">
        <v>10</v>
      </c>
      <c r="I31">
        <v>40</v>
      </c>
      <c r="J31">
        <v>37</v>
      </c>
      <c r="K31">
        <v>3</v>
      </c>
      <c r="L31">
        <v>62</v>
      </c>
      <c r="M31">
        <v>1.63</v>
      </c>
      <c r="N31">
        <v>51.5</v>
      </c>
      <c r="O31">
        <v>38.700000000000003</v>
      </c>
      <c r="P31">
        <v>12.8</v>
      </c>
      <c r="Q31">
        <v>0.34</v>
      </c>
      <c r="R31" s="1">
        <v>26813</v>
      </c>
      <c r="S31" t="s">
        <v>1250</v>
      </c>
      <c r="T31" t="s">
        <v>1251</v>
      </c>
    </row>
    <row r="32" spans="1:20" x14ac:dyDescent="0.2">
      <c r="A32" t="str" cm="1">
        <f t="array" ref="A32">_xlfn.IFS(C32="it ITA", "Serie A", C32="eng ENG", "Premier League", C32="de GER", "Bundesliga", C32="es ESP", "La Liga", C32="fr FRA", "Ligue 1")</f>
        <v>Bundesliga</v>
      </c>
      <c r="B32" t="s">
        <v>70</v>
      </c>
      <c r="C32" t="s">
        <v>160</v>
      </c>
      <c r="D32">
        <v>6</v>
      </c>
      <c r="E32">
        <v>34</v>
      </c>
      <c r="F32">
        <v>15</v>
      </c>
      <c r="G32">
        <v>10</v>
      </c>
      <c r="H32">
        <v>9</v>
      </c>
      <c r="I32">
        <v>58</v>
      </c>
      <c r="J32">
        <v>46</v>
      </c>
      <c r="K32">
        <v>12</v>
      </c>
      <c r="L32">
        <v>55</v>
      </c>
      <c r="M32">
        <v>1.62</v>
      </c>
      <c r="N32">
        <v>50.4</v>
      </c>
      <c r="O32">
        <v>44</v>
      </c>
      <c r="P32">
        <v>6.4</v>
      </c>
      <c r="Q32">
        <v>0.19</v>
      </c>
      <c r="R32" s="1">
        <v>18741</v>
      </c>
      <c r="S32" t="s">
        <v>1252</v>
      </c>
      <c r="T32" t="s">
        <v>1253</v>
      </c>
    </row>
    <row r="33" spans="1:20" x14ac:dyDescent="0.2">
      <c r="A33" t="str" cm="1">
        <f t="array" ref="A33">_xlfn.IFS(C33="it ITA", "Serie A", C33="eng ENG", "Premier League", C33="de GER", "Bundesliga", C33="es ESP", "La Liga", C33="fr FRA", "Ligue 1")</f>
        <v>Ligue 1</v>
      </c>
      <c r="B33" t="s">
        <v>89</v>
      </c>
      <c r="C33" t="s">
        <v>157</v>
      </c>
      <c r="D33">
        <v>8</v>
      </c>
      <c r="E33">
        <v>38</v>
      </c>
      <c r="F33">
        <v>17</v>
      </c>
      <c r="G33">
        <v>11</v>
      </c>
      <c r="H33">
        <v>10</v>
      </c>
      <c r="I33">
        <v>66</v>
      </c>
      <c r="J33">
        <v>51</v>
      </c>
      <c r="K33">
        <v>15</v>
      </c>
      <c r="L33">
        <v>61</v>
      </c>
      <c r="M33">
        <v>1.61</v>
      </c>
      <c r="N33">
        <v>66.900000000000006</v>
      </c>
      <c r="O33">
        <v>54.6</v>
      </c>
      <c r="P33">
        <v>12.4</v>
      </c>
      <c r="Q33">
        <v>0.33</v>
      </c>
      <c r="R33" s="1">
        <v>32329</v>
      </c>
      <c r="S33" t="s">
        <v>1254</v>
      </c>
      <c r="T33" t="s">
        <v>903</v>
      </c>
    </row>
    <row r="34" spans="1:20" x14ac:dyDescent="0.2">
      <c r="A34" t="str" cm="1">
        <f t="array" ref="A34">_xlfn.IFS(C34="it ITA", "Serie A", C34="eng ENG", "Premier League", C34="de GER", "Bundesliga", C34="es ESP", "La Liga", C34="fr FRA", "Ligue 1")</f>
        <v>La Liga</v>
      </c>
      <c r="B34" t="s">
        <v>520</v>
      </c>
      <c r="C34" t="s">
        <v>165</v>
      </c>
      <c r="D34">
        <v>7</v>
      </c>
      <c r="E34">
        <v>38</v>
      </c>
      <c r="F34">
        <v>16</v>
      </c>
      <c r="G34">
        <v>11</v>
      </c>
      <c r="H34">
        <v>11</v>
      </c>
      <c r="I34">
        <v>63</v>
      </c>
      <c r="J34">
        <v>37</v>
      </c>
      <c r="K34">
        <v>26</v>
      </c>
      <c r="L34">
        <v>59</v>
      </c>
      <c r="M34">
        <v>1.55</v>
      </c>
      <c r="N34">
        <v>64.2</v>
      </c>
      <c r="O34">
        <v>44.8</v>
      </c>
      <c r="P34">
        <v>19.399999999999999</v>
      </c>
      <c r="Q34">
        <v>0.51</v>
      </c>
      <c r="R34" s="1">
        <v>14293</v>
      </c>
      <c r="S34" t="s">
        <v>1255</v>
      </c>
      <c r="T34" t="s">
        <v>1107</v>
      </c>
    </row>
    <row r="35" spans="1:20" x14ac:dyDescent="0.2">
      <c r="A35" t="str" cm="1">
        <f t="array" ref="A35">_xlfn.IFS(C35="it ITA", "Serie A", C35="eng ENG", "Premier League", C35="de GER", "Bundesliga", C35="es ESP", "La Liga", C35="fr FRA", "Ligue 1")</f>
        <v>Serie A</v>
      </c>
      <c r="B35" t="s">
        <v>43</v>
      </c>
      <c r="C35" t="s">
        <v>147</v>
      </c>
      <c r="D35">
        <v>8</v>
      </c>
      <c r="E35">
        <v>38</v>
      </c>
      <c r="F35">
        <v>16</v>
      </c>
      <c r="G35">
        <v>11</v>
      </c>
      <c r="H35">
        <v>11</v>
      </c>
      <c r="I35">
        <v>65</v>
      </c>
      <c r="J35">
        <v>48</v>
      </c>
      <c r="K35">
        <v>17</v>
      </c>
      <c r="L35">
        <v>59</v>
      </c>
      <c r="M35">
        <v>1.55</v>
      </c>
      <c r="N35">
        <v>62.4</v>
      </c>
      <c r="O35">
        <v>45.3</v>
      </c>
      <c r="P35">
        <v>17.2</v>
      </c>
      <c r="Q35">
        <v>0.45</v>
      </c>
      <c r="R35" s="1">
        <v>10447</v>
      </c>
      <c r="S35" t="s">
        <v>1256</v>
      </c>
      <c r="T35" t="s">
        <v>1257</v>
      </c>
    </row>
    <row r="36" spans="1:20" x14ac:dyDescent="0.2">
      <c r="A36" t="str" cm="1">
        <f t="array" ref="A36">_xlfn.IFS(C36="it ITA", "Serie A", C36="eng ENG", "Premier League", C36="de GER", "Bundesliga", C36="es ESP", "La Liga", C36="fr FRA", "Ligue 1")</f>
        <v>Bundesliga</v>
      </c>
      <c r="B36" t="s">
        <v>355</v>
      </c>
      <c r="C36" t="s">
        <v>160</v>
      </c>
      <c r="D36">
        <v>7</v>
      </c>
      <c r="E36">
        <v>34</v>
      </c>
      <c r="F36">
        <v>14</v>
      </c>
      <c r="G36">
        <v>10</v>
      </c>
      <c r="H36">
        <v>10</v>
      </c>
      <c r="I36">
        <v>52</v>
      </c>
      <c r="J36">
        <v>49</v>
      </c>
      <c r="K36">
        <v>3</v>
      </c>
      <c r="L36">
        <v>52</v>
      </c>
      <c r="M36">
        <v>1.53</v>
      </c>
      <c r="N36">
        <v>50.1</v>
      </c>
      <c r="O36">
        <v>50.6</v>
      </c>
      <c r="P36">
        <v>-0.6</v>
      </c>
      <c r="Q36">
        <v>-0.02</v>
      </c>
      <c r="R36" s="1">
        <v>31965</v>
      </c>
      <c r="S36" t="s">
        <v>1258</v>
      </c>
      <c r="T36" t="s">
        <v>1259</v>
      </c>
    </row>
    <row r="37" spans="1:20" x14ac:dyDescent="0.2">
      <c r="A37" t="str" cm="1">
        <f t="array" ref="A37">_xlfn.IFS(C37="it ITA", "Serie A", C37="eng ENG", "Premier League", C37="de GER", "Bundesliga", C37="es ESP", "La Liga", C37="fr FRA", "Ligue 1")</f>
        <v>Premier League</v>
      </c>
      <c r="B37" t="s">
        <v>340</v>
      </c>
      <c r="C37" t="s">
        <v>150</v>
      </c>
      <c r="D37">
        <v>6</v>
      </c>
      <c r="E37">
        <v>38</v>
      </c>
      <c r="F37">
        <v>16</v>
      </c>
      <c r="G37">
        <v>10</v>
      </c>
      <c r="H37">
        <v>12</v>
      </c>
      <c r="I37">
        <v>57</v>
      </c>
      <c r="J37">
        <v>57</v>
      </c>
      <c r="K37">
        <v>0</v>
      </c>
      <c r="L37">
        <v>58</v>
      </c>
      <c r="M37">
        <v>1.53</v>
      </c>
      <c r="N37">
        <v>55.8</v>
      </c>
      <c r="O37">
        <v>53</v>
      </c>
      <c r="P37">
        <v>2.8</v>
      </c>
      <c r="Q37">
        <v>7.0000000000000007E-2</v>
      </c>
      <c r="R37" s="1">
        <v>73150</v>
      </c>
      <c r="S37" t="s">
        <v>1260</v>
      </c>
      <c r="T37" t="s">
        <v>778</v>
      </c>
    </row>
    <row r="38" spans="1:20" x14ac:dyDescent="0.2">
      <c r="A38" t="str" cm="1">
        <f t="array" ref="A38">_xlfn.IFS(C38="it ITA", "Serie A", C38="eng ENG", "Premier League", C38="de GER", "Bundesliga", C38="es ESP", "La Liga", C38="fr FRA", "Ligue 1")</f>
        <v>Premier League</v>
      </c>
      <c r="B38" t="s">
        <v>345</v>
      </c>
      <c r="C38" t="s">
        <v>150</v>
      </c>
      <c r="D38">
        <v>7</v>
      </c>
      <c r="E38">
        <v>38</v>
      </c>
      <c r="F38">
        <v>16</v>
      </c>
      <c r="G38">
        <v>8</v>
      </c>
      <c r="H38">
        <v>14</v>
      </c>
      <c r="I38">
        <v>60</v>
      </c>
      <c r="J38">
        <v>51</v>
      </c>
      <c r="K38">
        <v>9</v>
      </c>
      <c r="L38">
        <v>56</v>
      </c>
      <c r="M38">
        <v>1.47</v>
      </c>
      <c r="N38">
        <v>51.4</v>
      </c>
      <c r="O38">
        <v>53.5</v>
      </c>
      <c r="P38">
        <v>-2.1</v>
      </c>
      <c r="Q38">
        <v>-0.06</v>
      </c>
      <c r="R38" s="1">
        <v>58370</v>
      </c>
      <c r="S38" t="s">
        <v>1261</v>
      </c>
      <c r="T38" t="s">
        <v>1183</v>
      </c>
    </row>
    <row r="39" spans="1:20" x14ac:dyDescent="0.2">
      <c r="A39" t="str" cm="1">
        <f t="array" ref="A39">_xlfn.IFS(C39="it ITA", "Serie A", C39="eng ENG", "Premier League", C39="de GER", "Bundesliga", C39="es ESP", "La Liga", C39="fr FRA", "Ligue 1")</f>
        <v>La Liga</v>
      </c>
      <c r="B39" t="s">
        <v>342</v>
      </c>
      <c r="C39" t="s">
        <v>165</v>
      </c>
      <c r="D39">
        <v>8</v>
      </c>
      <c r="E39">
        <v>38</v>
      </c>
      <c r="F39">
        <v>14</v>
      </c>
      <c r="G39">
        <v>13</v>
      </c>
      <c r="H39">
        <v>11</v>
      </c>
      <c r="I39">
        <v>43</v>
      </c>
      <c r="J39">
        <v>36</v>
      </c>
      <c r="K39">
        <v>7</v>
      </c>
      <c r="L39">
        <v>55</v>
      </c>
      <c r="M39">
        <v>1.45</v>
      </c>
      <c r="N39">
        <v>49.6</v>
      </c>
      <c r="O39">
        <v>38.4</v>
      </c>
      <c r="P39">
        <v>11.3</v>
      </c>
      <c r="Q39">
        <v>0.3</v>
      </c>
      <c r="R39" s="1">
        <v>32949</v>
      </c>
      <c r="S39" t="s">
        <v>1262</v>
      </c>
      <c r="T39" t="s">
        <v>1263</v>
      </c>
    </row>
    <row r="40" spans="1:20" x14ac:dyDescent="0.2">
      <c r="A40" t="str" cm="1">
        <f t="array" ref="A40">_xlfn.IFS(C40="it ITA", "Serie A", C40="eng ENG", "Premier League", C40="de GER", "Bundesliga", C40="es ESP", "La Liga", C40="fr FRA", "Ligue 1")</f>
        <v>Ligue 1</v>
      </c>
      <c r="B40" t="s">
        <v>86</v>
      </c>
      <c r="C40" t="s">
        <v>157</v>
      </c>
      <c r="D40">
        <v>9</v>
      </c>
      <c r="E40">
        <v>38</v>
      </c>
      <c r="F40">
        <v>15</v>
      </c>
      <c r="G40">
        <v>10</v>
      </c>
      <c r="H40">
        <v>13</v>
      </c>
      <c r="I40">
        <v>55</v>
      </c>
      <c r="J40">
        <v>48</v>
      </c>
      <c r="K40">
        <v>7</v>
      </c>
      <c r="L40">
        <v>55</v>
      </c>
      <c r="M40">
        <v>1.45</v>
      </c>
      <c r="N40">
        <v>45.5</v>
      </c>
      <c r="O40">
        <v>52.7</v>
      </c>
      <c r="P40">
        <v>-7.2</v>
      </c>
      <c r="Q40">
        <v>-0.19</v>
      </c>
      <c r="R40" s="1">
        <v>20803</v>
      </c>
      <c r="S40" t="s">
        <v>1264</v>
      </c>
      <c r="T40" t="s">
        <v>1171</v>
      </c>
    </row>
    <row r="41" spans="1:20" x14ac:dyDescent="0.2">
      <c r="A41" t="str" cm="1">
        <f t="array" ref="A41">_xlfn.IFS(C41="it ITA", "Serie A", C41="eng ENG", "Premier League", C41="de GER", "Bundesliga", C41="es ESP", "La Liga", C41="fr FRA", "Ligue 1")</f>
        <v>Ligue 1</v>
      </c>
      <c r="B41" t="s">
        <v>96</v>
      </c>
      <c r="C41" t="s">
        <v>157</v>
      </c>
      <c r="D41">
        <v>10</v>
      </c>
      <c r="E41">
        <v>38</v>
      </c>
      <c r="F41">
        <v>14</v>
      </c>
      <c r="G41">
        <v>13</v>
      </c>
      <c r="H41">
        <v>11</v>
      </c>
      <c r="I41">
        <v>48</v>
      </c>
      <c r="J41">
        <v>48</v>
      </c>
      <c r="K41">
        <v>0</v>
      </c>
      <c r="L41">
        <v>55</v>
      </c>
      <c r="M41">
        <v>1.45</v>
      </c>
      <c r="N41">
        <v>50.5</v>
      </c>
      <c r="O41">
        <v>39.9</v>
      </c>
      <c r="P41">
        <v>10.6</v>
      </c>
      <c r="Q41">
        <v>0.28000000000000003</v>
      </c>
      <c r="R41" s="1">
        <v>34346</v>
      </c>
      <c r="S41" t="s">
        <v>1265</v>
      </c>
      <c r="T41" t="s">
        <v>1266</v>
      </c>
    </row>
    <row r="42" spans="1:20" x14ac:dyDescent="0.2">
      <c r="A42" t="str" cm="1">
        <f t="array" ref="A42">_xlfn.IFS(C42="it ITA", "Serie A", C42="eng ENG", "Premier League", C42="de GER", "Bundesliga", C42="es ESP", "La Liga", C42="fr FRA", "Ligue 1")</f>
        <v>Serie A</v>
      </c>
      <c r="B42" t="s">
        <v>519</v>
      </c>
      <c r="C42" t="s">
        <v>147</v>
      </c>
      <c r="D42">
        <v>9</v>
      </c>
      <c r="E42">
        <v>38</v>
      </c>
      <c r="F42">
        <v>14</v>
      </c>
      <c r="G42">
        <v>11</v>
      </c>
      <c r="H42">
        <v>13</v>
      </c>
      <c r="I42">
        <v>65</v>
      </c>
      <c r="J42">
        <v>59</v>
      </c>
      <c r="K42">
        <v>6</v>
      </c>
      <c r="L42">
        <v>53</v>
      </c>
      <c r="M42">
        <v>1.39</v>
      </c>
      <c r="N42">
        <v>50.4</v>
      </c>
      <c r="O42">
        <v>49</v>
      </c>
      <c r="P42">
        <v>1.4</v>
      </c>
      <c r="Q42">
        <v>0.04</v>
      </c>
      <c r="R42" s="1">
        <v>13894</v>
      </c>
      <c r="S42" t="s">
        <v>1267</v>
      </c>
      <c r="T42" t="s">
        <v>1268</v>
      </c>
    </row>
    <row r="43" spans="1:20" x14ac:dyDescent="0.2">
      <c r="A43" t="str" cm="1">
        <f t="array" ref="A43">_xlfn.IFS(C43="it ITA", "Serie A", C43="eng ENG", "Premier League", C43="de GER", "Bundesliga", C43="es ESP", "La Liga", C43="fr FRA", "Ligue 1")</f>
        <v>Premier League</v>
      </c>
      <c r="B43" t="s">
        <v>108</v>
      </c>
      <c r="C43" t="s">
        <v>150</v>
      </c>
      <c r="D43">
        <v>8</v>
      </c>
      <c r="E43">
        <v>38</v>
      </c>
      <c r="F43">
        <v>14</v>
      </c>
      <c r="G43">
        <v>10</v>
      </c>
      <c r="H43">
        <v>14</v>
      </c>
      <c r="I43">
        <v>62</v>
      </c>
      <c r="J43">
        <v>59</v>
      </c>
      <c r="K43">
        <v>3</v>
      </c>
      <c r="L43">
        <v>52</v>
      </c>
      <c r="M43">
        <v>1.37</v>
      </c>
      <c r="N43">
        <v>47.8</v>
      </c>
      <c r="O43">
        <v>59.3</v>
      </c>
      <c r="P43">
        <v>-11.5</v>
      </c>
      <c r="Q43">
        <v>-0.3</v>
      </c>
      <c r="R43" s="1">
        <v>32493</v>
      </c>
      <c r="S43" t="s">
        <v>1269</v>
      </c>
      <c r="T43" t="s">
        <v>1121</v>
      </c>
    </row>
    <row r="44" spans="1:20" x14ac:dyDescent="0.2">
      <c r="A44" t="str" cm="1">
        <f t="array" ref="A44">_xlfn.IFS(C44="it ITA", "Serie A", C44="eng ENG", "Premier League", C44="de GER", "Bundesliga", C44="es ESP", "La Liga", C44="fr FRA", "Ligue 1")</f>
        <v>Bundesliga</v>
      </c>
      <c r="B44" t="s">
        <v>688</v>
      </c>
      <c r="C44" t="s">
        <v>160</v>
      </c>
      <c r="D44">
        <v>8</v>
      </c>
      <c r="E44">
        <v>34</v>
      </c>
      <c r="F44">
        <v>13</v>
      </c>
      <c r="G44">
        <v>7</v>
      </c>
      <c r="H44">
        <v>14</v>
      </c>
      <c r="I44">
        <v>50</v>
      </c>
      <c r="J44">
        <v>45</v>
      </c>
      <c r="K44">
        <v>5</v>
      </c>
      <c r="L44">
        <v>46</v>
      </c>
      <c r="M44">
        <v>1.35</v>
      </c>
      <c r="N44">
        <v>50.4</v>
      </c>
      <c r="O44">
        <v>43.9</v>
      </c>
      <c r="P44">
        <v>6.5</v>
      </c>
      <c r="Q44">
        <v>0.19</v>
      </c>
      <c r="R44" s="1">
        <v>17978</v>
      </c>
      <c r="S44" t="s">
        <v>1270</v>
      </c>
      <c r="T44" t="s">
        <v>1150</v>
      </c>
    </row>
    <row r="45" spans="1:20" x14ac:dyDescent="0.2">
      <c r="A45" t="str" cm="1">
        <f t="array" ref="A45">_xlfn.IFS(C45="it ITA", "Serie A", C45="eng ENG", "Premier League", C45="de GER", "Bundesliga", C45="es ESP", "La Liga", C45="fr FRA", "Ligue 1")</f>
        <v>Bundesliga</v>
      </c>
      <c r="B45" t="s">
        <v>856</v>
      </c>
      <c r="C45" t="s">
        <v>160</v>
      </c>
      <c r="D45">
        <v>9</v>
      </c>
      <c r="E45">
        <v>34</v>
      </c>
      <c r="F45">
        <v>13</v>
      </c>
      <c r="G45">
        <v>7</v>
      </c>
      <c r="H45">
        <v>14</v>
      </c>
      <c r="I45">
        <v>58</v>
      </c>
      <c r="J45">
        <v>60</v>
      </c>
      <c r="K45">
        <v>-2</v>
      </c>
      <c r="L45">
        <v>46</v>
      </c>
      <c r="M45">
        <v>1.35</v>
      </c>
      <c r="N45">
        <v>58.3</v>
      </c>
      <c r="O45">
        <v>54.6</v>
      </c>
      <c r="P45">
        <v>3.7</v>
      </c>
      <c r="Q45">
        <v>0.11</v>
      </c>
      <c r="R45" s="1">
        <v>11227</v>
      </c>
      <c r="S45" t="s">
        <v>1271</v>
      </c>
      <c r="T45" t="s">
        <v>979</v>
      </c>
    </row>
    <row r="46" spans="1:20" x14ac:dyDescent="0.2">
      <c r="A46" t="str" cm="1">
        <f t="array" ref="A46">_xlfn.IFS(C46="it ITA", "Serie A", C46="eng ENG", "Premier League", C46="de GER", "Bundesliga", C46="es ESP", "La Liga", C46="fr FRA", "Ligue 1")</f>
        <v>Premier League</v>
      </c>
      <c r="B46" t="s">
        <v>1206</v>
      </c>
      <c r="C46" t="s">
        <v>150</v>
      </c>
      <c r="D46">
        <v>9</v>
      </c>
      <c r="E46">
        <v>38</v>
      </c>
      <c r="F46">
        <v>12</v>
      </c>
      <c r="G46">
        <v>15</v>
      </c>
      <c r="H46">
        <v>11</v>
      </c>
      <c r="I46">
        <v>42</v>
      </c>
      <c r="J46">
        <v>44</v>
      </c>
      <c r="K46">
        <v>-2</v>
      </c>
      <c r="L46">
        <v>51</v>
      </c>
      <c r="M46">
        <v>1.34</v>
      </c>
      <c r="N46">
        <v>46.2</v>
      </c>
      <c r="O46">
        <v>42.9</v>
      </c>
      <c r="P46">
        <v>3.3</v>
      </c>
      <c r="Q46">
        <v>0.09</v>
      </c>
      <c r="R46" s="1">
        <v>30966</v>
      </c>
      <c r="S46" t="s">
        <v>1272</v>
      </c>
      <c r="T46" t="s">
        <v>1273</v>
      </c>
    </row>
    <row r="47" spans="1:20" x14ac:dyDescent="0.2">
      <c r="A47" t="str" cm="1">
        <f t="array" ref="A47">_xlfn.IFS(C47="it ITA", "Serie A", C47="eng ENG", "Premier League", C47="de GER", "Bundesliga", C47="es ESP", "La Liga", C47="fr FRA", "Ligue 1")</f>
        <v>Premier League</v>
      </c>
      <c r="B47" t="s">
        <v>860</v>
      </c>
      <c r="C47" t="s">
        <v>150</v>
      </c>
      <c r="D47">
        <v>10</v>
      </c>
      <c r="E47">
        <v>38</v>
      </c>
      <c r="F47">
        <v>15</v>
      </c>
      <c r="G47">
        <v>6</v>
      </c>
      <c r="H47">
        <v>17</v>
      </c>
      <c r="I47">
        <v>38</v>
      </c>
      <c r="J47">
        <v>43</v>
      </c>
      <c r="K47">
        <v>-5</v>
      </c>
      <c r="L47">
        <v>51</v>
      </c>
      <c r="M47">
        <v>1.34</v>
      </c>
      <c r="N47">
        <v>37.5</v>
      </c>
      <c r="O47">
        <v>56.9</v>
      </c>
      <c r="P47">
        <v>-19.399999999999999</v>
      </c>
      <c r="Q47">
        <v>-0.51</v>
      </c>
      <c r="R47" s="1">
        <v>30841</v>
      </c>
      <c r="S47" t="s">
        <v>1274</v>
      </c>
      <c r="T47" t="s">
        <v>1275</v>
      </c>
    </row>
    <row r="48" spans="1:20" x14ac:dyDescent="0.2">
      <c r="A48" t="str" cm="1">
        <f t="array" ref="A48">_xlfn.IFS(C48="it ITA", "Serie A", C48="eng ENG", "Premier League", C48="de GER", "Bundesliga", C48="es ESP", "La Liga", C48="fr FRA", "Ligue 1")</f>
        <v>Serie A</v>
      </c>
      <c r="B48" t="s">
        <v>59</v>
      </c>
      <c r="C48" t="s">
        <v>147</v>
      </c>
      <c r="D48">
        <v>10</v>
      </c>
      <c r="E48">
        <v>38</v>
      </c>
      <c r="F48">
        <v>13</v>
      </c>
      <c r="G48">
        <v>11</v>
      </c>
      <c r="H48">
        <v>14</v>
      </c>
      <c r="I48">
        <v>46</v>
      </c>
      <c r="J48">
        <v>41</v>
      </c>
      <c r="K48">
        <v>5</v>
      </c>
      <c r="L48">
        <v>50</v>
      </c>
      <c r="M48">
        <v>1.32</v>
      </c>
      <c r="N48">
        <v>48.7</v>
      </c>
      <c r="O48">
        <v>38.9</v>
      </c>
      <c r="P48">
        <v>9.8000000000000007</v>
      </c>
      <c r="Q48">
        <v>0.26</v>
      </c>
      <c r="R48" s="1">
        <v>9846</v>
      </c>
      <c r="S48" t="s">
        <v>1276</v>
      </c>
      <c r="T48" t="s">
        <v>1277</v>
      </c>
    </row>
    <row r="49" spans="1:20" x14ac:dyDescent="0.2">
      <c r="A49" t="str" cm="1">
        <f t="array" ref="A49">_xlfn.IFS(C49="it ITA", "Serie A", C49="eng ENG", "Premier League", C49="de GER", "Bundesliga", C49="es ESP", "La Liga", C49="fr FRA", "Ligue 1")</f>
        <v>Serie A</v>
      </c>
      <c r="B49" t="s">
        <v>1032</v>
      </c>
      <c r="C49" t="s">
        <v>147</v>
      </c>
      <c r="D49">
        <v>11</v>
      </c>
      <c r="E49">
        <v>38</v>
      </c>
      <c r="F49">
        <v>13</v>
      </c>
      <c r="G49">
        <v>11</v>
      </c>
      <c r="H49">
        <v>14</v>
      </c>
      <c r="I49">
        <v>64</v>
      </c>
      <c r="J49">
        <v>66</v>
      </c>
      <c r="K49">
        <v>-2</v>
      </c>
      <c r="L49">
        <v>50</v>
      </c>
      <c r="M49">
        <v>1.32</v>
      </c>
      <c r="N49">
        <v>55.7</v>
      </c>
      <c r="O49">
        <v>66.400000000000006</v>
      </c>
      <c r="P49">
        <v>-10.7</v>
      </c>
      <c r="Q49">
        <v>-0.28000000000000003</v>
      </c>
      <c r="R49" s="1">
        <v>8362</v>
      </c>
      <c r="S49" t="s">
        <v>1278</v>
      </c>
      <c r="T49" t="s">
        <v>830</v>
      </c>
    </row>
    <row r="50" spans="1:20" x14ac:dyDescent="0.2">
      <c r="A50" t="str" cm="1">
        <f t="array" ref="A50">_xlfn.IFS(C50="it ITA", "Serie A", C50="eng ENG", "Premier League", C50="de GER", "Bundesliga", C50="es ESP", "La Liga", C50="fr FRA", "Ligue 1")</f>
        <v>Bundesliga</v>
      </c>
      <c r="B50" t="s">
        <v>353</v>
      </c>
      <c r="C50" t="s">
        <v>160</v>
      </c>
      <c r="D50">
        <v>10</v>
      </c>
      <c r="E50">
        <v>34</v>
      </c>
      <c r="F50">
        <v>12</v>
      </c>
      <c r="G50">
        <v>9</v>
      </c>
      <c r="H50">
        <v>13</v>
      </c>
      <c r="I50">
        <v>54</v>
      </c>
      <c r="J50">
        <v>61</v>
      </c>
      <c r="K50">
        <v>-7</v>
      </c>
      <c r="L50">
        <v>45</v>
      </c>
      <c r="M50">
        <v>1.32</v>
      </c>
      <c r="N50">
        <v>56.2</v>
      </c>
      <c r="O50">
        <v>55</v>
      </c>
      <c r="P50">
        <v>1.2</v>
      </c>
      <c r="Q50">
        <v>0.04</v>
      </c>
      <c r="R50" s="1">
        <v>26539</v>
      </c>
      <c r="S50" t="s">
        <v>1279</v>
      </c>
      <c r="T50" t="s">
        <v>1097</v>
      </c>
    </row>
    <row r="51" spans="1:20" x14ac:dyDescent="0.2">
      <c r="A51" t="str" cm="1">
        <f t="array" ref="A51">_xlfn.IFS(C51="it ITA", "Serie A", C51="eng ENG", "Premier League", C51="de GER", "Bundesliga", C51="es ESP", "La Liga", C51="fr FRA", "Ligue 1")</f>
        <v>Premier League</v>
      </c>
      <c r="B51" t="s">
        <v>349</v>
      </c>
      <c r="C51" t="s">
        <v>150</v>
      </c>
      <c r="D51">
        <v>11</v>
      </c>
      <c r="E51">
        <v>38</v>
      </c>
      <c r="F51">
        <v>13</v>
      </c>
      <c r="G51">
        <v>10</v>
      </c>
      <c r="H51">
        <v>15</v>
      </c>
      <c r="I51">
        <v>44</v>
      </c>
      <c r="J51">
        <v>62</v>
      </c>
      <c r="K51">
        <v>-18</v>
      </c>
      <c r="L51">
        <v>49</v>
      </c>
      <c r="M51">
        <v>1.29</v>
      </c>
      <c r="N51">
        <v>38.1</v>
      </c>
      <c r="O51">
        <v>57.1</v>
      </c>
      <c r="P51">
        <v>-19</v>
      </c>
      <c r="Q51">
        <v>-0.5</v>
      </c>
      <c r="R51" s="1">
        <v>51487</v>
      </c>
      <c r="S51" t="s">
        <v>1280</v>
      </c>
      <c r="T51" t="s">
        <v>1281</v>
      </c>
    </row>
    <row r="52" spans="1:20" x14ac:dyDescent="0.2">
      <c r="A52" t="str" cm="1">
        <f t="array" ref="A52">_xlfn.IFS(C52="it ITA", "Serie A", C52="eng ENG", "Premier League", C52="de GER", "Bundesliga", C52="es ESP", "La Liga", C52="fr FRA", "Ligue 1")</f>
        <v>Premier League</v>
      </c>
      <c r="B52" t="s">
        <v>106</v>
      </c>
      <c r="C52" t="s">
        <v>150</v>
      </c>
      <c r="D52">
        <v>12</v>
      </c>
      <c r="E52">
        <v>38</v>
      </c>
      <c r="F52">
        <v>11</v>
      </c>
      <c r="G52">
        <v>15</v>
      </c>
      <c r="H52">
        <v>12</v>
      </c>
      <c r="I52">
        <v>50</v>
      </c>
      <c r="J52">
        <v>46</v>
      </c>
      <c r="K52">
        <v>4</v>
      </c>
      <c r="L52">
        <v>48</v>
      </c>
      <c r="M52">
        <v>1.26</v>
      </c>
      <c r="N52">
        <v>46.4</v>
      </c>
      <c r="O52">
        <v>40.700000000000003</v>
      </c>
      <c r="P52">
        <v>5.7</v>
      </c>
      <c r="Q52">
        <v>0.15</v>
      </c>
      <c r="R52" s="1">
        <v>24588</v>
      </c>
      <c r="S52" t="s">
        <v>1282</v>
      </c>
      <c r="T52" t="s">
        <v>1085</v>
      </c>
    </row>
    <row r="53" spans="1:20" x14ac:dyDescent="0.2">
      <c r="A53" t="str" cm="1">
        <f t="array" ref="A53">_xlfn.IFS(C53="it ITA", "Serie A", C53="eng ENG", "Premier League", C53="de GER", "Bundesliga", C53="es ESP", "La Liga", C53="fr FRA", "Ligue 1")</f>
        <v>La Liga</v>
      </c>
      <c r="B53" t="s">
        <v>26</v>
      </c>
      <c r="C53" t="s">
        <v>165</v>
      </c>
      <c r="D53">
        <v>9</v>
      </c>
      <c r="E53">
        <v>38</v>
      </c>
      <c r="F53">
        <v>11</v>
      </c>
      <c r="G53">
        <v>15</v>
      </c>
      <c r="H53">
        <v>12</v>
      </c>
      <c r="I53">
        <v>48</v>
      </c>
      <c r="J53">
        <v>53</v>
      </c>
      <c r="K53">
        <v>-5</v>
      </c>
      <c r="L53">
        <v>48</v>
      </c>
      <c r="M53">
        <v>1.26</v>
      </c>
      <c r="N53">
        <v>39</v>
      </c>
      <c r="O53">
        <v>47.7</v>
      </c>
      <c r="P53">
        <v>-8.6999999999999993</v>
      </c>
      <c r="Q53">
        <v>-0.23</v>
      </c>
      <c r="R53" s="1">
        <v>27349</v>
      </c>
      <c r="S53" t="s">
        <v>1283</v>
      </c>
      <c r="T53" t="s">
        <v>1284</v>
      </c>
    </row>
    <row r="54" spans="1:20" x14ac:dyDescent="0.2">
      <c r="A54" t="str" cm="1">
        <f t="array" ref="A54">_xlfn.IFS(C54="it ITA", "Serie A", C54="eng ENG", "Premier League", C54="de GER", "Bundesliga", C54="es ESP", "La Liga", C54="fr FRA", "Ligue 1")</f>
        <v>Ligue 1</v>
      </c>
      <c r="B54" t="s">
        <v>1365</v>
      </c>
      <c r="C54" t="s">
        <v>157</v>
      </c>
      <c r="D54">
        <v>11</v>
      </c>
      <c r="E54">
        <v>38</v>
      </c>
      <c r="F54">
        <v>13</v>
      </c>
      <c r="G54">
        <v>9</v>
      </c>
      <c r="H54">
        <v>16</v>
      </c>
      <c r="I54">
        <v>49</v>
      </c>
      <c r="J54">
        <v>57</v>
      </c>
      <c r="K54">
        <v>-8</v>
      </c>
      <c r="L54">
        <v>48</v>
      </c>
      <c r="M54">
        <v>1.26</v>
      </c>
      <c r="N54">
        <v>43.4</v>
      </c>
      <c r="O54">
        <v>56.3</v>
      </c>
      <c r="P54">
        <v>-12.8</v>
      </c>
      <c r="Q54">
        <v>-0.34</v>
      </c>
      <c r="R54" s="1">
        <v>11804</v>
      </c>
      <c r="S54" t="s">
        <v>1285</v>
      </c>
      <c r="T54" t="s">
        <v>1286</v>
      </c>
    </row>
    <row r="55" spans="1:20" x14ac:dyDescent="0.2">
      <c r="A55" t="str" cm="1">
        <f t="array" ref="A55">_xlfn.IFS(C55="it ITA", "Serie A", C55="eng ENG", "Premier League", C55="de GER", "Bundesliga", C55="es ESP", "La Liga", C55="fr FRA", "Ligue 1")</f>
        <v>Serie A</v>
      </c>
      <c r="B55" t="s">
        <v>60</v>
      </c>
      <c r="C55" t="s">
        <v>147</v>
      </c>
      <c r="D55">
        <v>12</v>
      </c>
      <c r="E55">
        <v>38</v>
      </c>
      <c r="F55">
        <v>11</v>
      </c>
      <c r="G55">
        <v>14</v>
      </c>
      <c r="H55">
        <v>13</v>
      </c>
      <c r="I55">
        <v>61</v>
      </c>
      <c r="J55">
        <v>58</v>
      </c>
      <c r="K55">
        <v>3</v>
      </c>
      <c r="L55">
        <v>47</v>
      </c>
      <c r="M55">
        <v>1.24</v>
      </c>
      <c r="N55">
        <v>51.3</v>
      </c>
      <c r="O55">
        <v>52.4</v>
      </c>
      <c r="P55">
        <v>-1</v>
      </c>
      <c r="Q55">
        <v>-0.03</v>
      </c>
      <c r="R55" s="1">
        <v>12144</v>
      </c>
      <c r="S55" t="s">
        <v>1287</v>
      </c>
      <c r="T55" t="s">
        <v>1288</v>
      </c>
    </row>
    <row r="56" spans="1:20" x14ac:dyDescent="0.2">
      <c r="A56" t="str" cm="1">
        <f t="array" ref="A56">_xlfn.IFS(C56="it ITA", "Serie A", C56="eng ENG", "Premier League", C56="de GER", "Bundesliga", C56="es ESP", "La Liga", C56="fr FRA", "Ligue 1")</f>
        <v>Bundesliga</v>
      </c>
      <c r="B56" t="s">
        <v>691</v>
      </c>
      <c r="C56" t="s">
        <v>160</v>
      </c>
      <c r="D56">
        <v>11</v>
      </c>
      <c r="E56">
        <v>34</v>
      </c>
      <c r="F56">
        <v>10</v>
      </c>
      <c r="G56">
        <v>12</v>
      </c>
      <c r="H56">
        <v>12</v>
      </c>
      <c r="I56">
        <v>45</v>
      </c>
      <c r="J56">
        <v>49</v>
      </c>
      <c r="K56">
        <v>-4</v>
      </c>
      <c r="L56">
        <v>42</v>
      </c>
      <c r="M56">
        <v>1.24</v>
      </c>
      <c r="N56">
        <v>41.6</v>
      </c>
      <c r="O56">
        <v>47</v>
      </c>
      <c r="P56">
        <v>-5.4</v>
      </c>
      <c r="Q56">
        <v>-0.16</v>
      </c>
      <c r="R56" s="1">
        <v>26162</v>
      </c>
      <c r="S56" t="s">
        <v>1289</v>
      </c>
      <c r="T56" t="s">
        <v>977</v>
      </c>
    </row>
    <row r="57" spans="1:20" x14ac:dyDescent="0.2">
      <c r="A57" t="str" cm="1">
        <f t="array" ref="A57">_xlfn.IFS(C57="it ITA", "Serie A", C57="eng ENG", "Premier League", C57="de GER", "Bundesliga", C57="es ESP", "La Liga", C57="fr FRA", "Ligue 1")</f>
        <v>Bundesliga</v>
      </c>
      <c r="B57" t="s">
        <v>352</v>
      </c>
      <c r="C57" t="s">
        <v>160</v>
      </c>
      <c r="D57">
        <v>12</v>
      </c>
      <c r="E57">
        <v>34</v>
      </c>
      <c r="F57">
        <v>12</v>
      </c>
      <c r="G57">
        <v>6</v>
      </c>
      <c r="H57">
        <v>16</v>
      </c>
      <c r="I57">
        <v>43</v>
      </c>
      <c r="J57">
        <v>54</v>
      </c>
      <c r="K57">
        <v>-11</v>
      </c>
      <c r="L57">
        <v>42</v>
      </c>
      <c r="M57">
        <v>1.24</v>
      </c>
      <c r="N57">
        <v>47.7</v>
      </c>
      <c r="O57">
        <v>47.3</v>
      </c>
      <c r="P57">
        <v>0.4</v>
      </c>
      <c r="Q57">
        <v>0.01</v>
      </c>
      <c r="R57" s="1">
        <v>12018</v>
      </c>
      <c r="S57" t="s">
        <v>1290</v>
      </c>
      <c r="T57" t="s">
        <v>928</v>
      </c>
    </row>
    <row r="58" spans="1:20" x14ac:dyDescent="0.2">
      <c r="A58" t="str" cm="1">
        <f t="array" ref="A58">_xlfn.IFS(C58="it ITA", "Serie A", C58="eng ENG", "Premier League", C58="de GER", "Bundesliga", C58="es ESP", "La Liga", C58="fr FRA", "Ligue 1")</f>
        <v>La Liga</v>
      </c>
      <c r="B58" t="s">
        <v>38</v>
      </c>
      <c r="C58" t="s">
        <v>165</v>
      </c>
      <c r="D58">
        <v>10</v>
      </c>
      <c r="E58">
        <v>38</v>
      </c>
      <c r="F58">
        <v>12</v>
      </c>
      <c r="G58">
        <v>11</v>
      </c>
      <c r="H58">
        <v>15</v>
      </c>
      <c r="I58">
        <v>37</v>
      </c>
      <c r="J58">
        <v>51</v>
      </c>
      <c r="K58">
        <v>-14</v>
      </c>
      <c r="L58">
        <v>47</v>
      </c>
      <c r="M58">
        <v>1.24</v>
      </c>
      <c r="N58">
        <v>36.700000000000003</v>
      </c>
      <c r="O58">
        <v>46.3</v>
      </c>
      <c r="P58">
        <v>-9.6</v>
      </c>
      <c r="Q58">
        <v>-0.25</v>
      </c>
      <c r="R58" s="1">
        <v>17107</v>
      </c>
      <c r="S58" t="s">
        <v>1291</v>
      </c>
      <c r="T58" t="s">
        <v>1292</v>
      </c>
    </row>
    <row r="59" spans="1:20" x14ac:dyDescent="0.2">
      <c r="A59" t="str" cm="1">
        <f t="array" ref="A59">_xlfn.IFS(C59="it ITA", "Serie A", C59="eng ENG", "Premier League", C59="de GER", "Bundesliga", C59="es ESP", "La Liga", C59="fr FRA", "Ligue 1")</f>
        <v>Bundesliga</v>
      </c>
      <c r="B59" t="s">
        <v>83</v>
      </c>
      <c r="C59" t="s">
        <v>160</v>
      </c>
      <c r="D59">
        <v>13</v>
      </c>
      <c r="E59">
        <v>34</v>
      </c>
      <c r="F59">
        <v>12</v>
      </c>
      <c r="G59">
        <v>6</v>
      </c>
      <c r="H59">
        <v>16</v>
      </c>
      <c r="I59">
        <v>38</v>
      </c>
      <c r="J59">
        <v>52</v>
      </c>
      <c r="K59">
        <v>-14</v>
      </c>
      <c r="L59">
        <v>42</v>
      </c>
      <c r="M59">
        <v>1.24</v>
      </c>
      <c r="N59">
        <v>40.6</v>
      </c>
      <c r="O59">
        <v>55.8</v>
      </c>
      <c r="P59">
        <v>-15.1</v>
      </c>
      <c r="Q59">
        <v>-0.46</v>
      </c>
      <c r="R59" s="1">
        <v>15125</v>
      </c>
      <c r="S59" t="s">
        <v>1293</v>
      </c>
      <c r="T59" t="s">
        <v>1294</v>
      </c>
    </row>
    <row r="60" spans="1:20" x14ac:dyDescent="0.2">
      <c r="A60" t="str" cm="1">
        <f t="array" ref="A60">_xlfn.IFS(C60="it ITA", "Serie A", C60="eng ENG", "Premier League", C60="de GER", "Bundesliga", C60="es ESP", "La Liga", C60="fr FRA", "Ligue 1")</f>
        <v>La Liga</v>
      </c>
      <c r="B60" t="s">
        <v>110</v>
      </c>
      <c r="C60" t="s">
        <v>165</v>
      </c>
      <c r="D60">
        <v>11</v>
      </c>
      <c r="E60">
        <v>38</v>
      </c>
      <c r="F60">
        <v>12</v>
      </c>
      <c r="G60">
        <v>10</v>
      </c>
      <c r="H60">
        <v>16</v>
      </c>
      <c r="I60">
        <v>43</v>
      </c>
      <c r="J60">
        <v>43</v>
      </c>
      <c r="K60">
        <v>0</v>
      </c>
      <c r="L60">
        <v>46</v>
      </c>
      <c r="M60">
        <v>1.21</v>
      </c>
      <c r="N60">
        <v>43.1</v>
      </c>
      <c r="O60">
        <v>45.7</v>
      </c>
      <c r="P60">
        <v>-2.6</v>
      </c>
      <c r="Q60">
        <v>-7.0000000000000007E-2</v>
      </c>
      <c r="R60" s="1">
        <v>10014</v>
      </c>
      <c r="S60" t="s">
        <v>1295</v>
      </c>
      <c r="T60" t="s">
        <v>1296</v>
      </c>
    </row>
    <row r="61" spans="1:20" x14ac:dyDescent="0.2">
      <c r="A61" t="str" cm="1">
        <f t="array" ref="A61">_xlfn.IFS(C61="it ITA", "Serie A", C61="eng ENG", "Premier League", C61="de GER", "Bundesliga", C61="es ESP", "La Liga", C61="fr FRA", "Ligue 1")</f>
        <v>Ligue 1</v>
      </c>
      <c r="B61" t="s">
        <v>1027</v>
      </c>
      <c r="C61" t="s">
        <v>157</v>
      </c>
      <c r="D61">
        <v>12</v>
      </c>
      <c r="E61">
        <v>38</v>
      </c>
      <c r="F61">
        <v>11</v>
      </c>
      <c r="G61">
        <v>13</v>
      </c>
      <c r="H61">
        <v>14</v>
      </c>
      <c r="I61">
        <v>43</v>
      </c>
      <c r="J61">
        <v>44</v>
      </c>
      <c r="K61">
        <v>-1</v>
      </c>
      <c r="L61">
        <v>46</v>
      </c>
      <c r="M61">
        <v>1.21</v>
      </c>
      <c r="N61">
        <v>37.700000000000003</v>
      </c>
      <c r="O61">
        <v>46.4</v>
      </c>
      <c r="P61">
        <v>-8.6999999999999993</v>
      </c>
      <c r="Q61">
        <v>-0.23</v>
      </c>
      <c r="R61" s="1">
        <v>11071</v>
      </c>
      <c r="S61" t="s">
        <v>1297</v>
      </c>
      <c r="T61" t="s">
        <v>1298</v>
      </c>
    </row>
    <row r="62" spans="1:20" x14ac:dyDescent="0.2">
      <c r="A62" t="str" cm="1">
        <f t="array" ref="A62">_xlfn.IFS(C62="it ITA", "Serie A", C62="eng ENG", "Premier League", C62="de GER", "Bundesliga", C62="es ESP", "La Liga", C62="fr FRA", "Ligue 1")</f>
        <v>Premier League</v>
      </c>
      <c r="B62" t="s">
        <v>1366</v>
      </c>
      <c r="C62" t="s">
        <v>150</v>
      </c>
      <c r="D62">
        <v>13</v>
      </c>
      <c r="E62">
        <v>38</v>
      </c>
      <c r="F62">
        <v>13</v>
      </c>
      <c r="G62">
        <v>7</v>
      </c>
      <c r="H62">
        <v>18</v>
      </c>
      <c r="I62">
        <v>48</v>
      </c>
      <c r="J62">
        <v>56</v>
      </c>
      <c r="K62">
        <v>-8</v>
      </c>
      <c r="L62">
        <v>46</v>
      </c>
      <c r="M62">
        <v>1.21</v>
      </c>
      <c r="N62">
        <v>45.8</v>
      </c>
      <c r="O62">
        <v>48.5</v>
      </c>
      <c r="P62">
        <v>-2.7</v>
      </c>
      <c r="Q62">
        <v>-7.0000000000000007E-2</v>
      </c>
      <c r="R62" s="1">
        <v>16918</v>
      </c>
      <c r="S62" t="s">
        <v>1299</v>
      </c>
      <c r="T62" t="s">
        <v>1300</v>
      </c>
    </row>
    <row r="63" spans="1:20" x14ac:dyDescent="0.2">
      <c r="A63" t="str" cm="1">
        <f t="array" ref="A63">_xlfn.IFS(C63="it ITA", "Serie A", C63="eng ENG", "Premier League", C63="de GER", "Bundesliga", C63="es ESP", "La Liga", C63="fr FRA", "Ligue 1")</f>
        <v>Serie A</v>
      </c>
      <c r="B63" t="s">
        <v>120</v>
      </c>
      <c r="C63" t="s">
        <v>147</v>
      </c>
      <c r="D63">
        <v>13</v>
      </c>
      <c r="E63">
        <v>38</v>
      </c>
      <c r="F63">
        <v>12</v>
      </c>
      <c r="G63">
        <v>10</v>
      </c>
      <c r="H63">
        <v>16</v>
      </c>
      <c r="I63">
        <v>44</v>
      </c>
      <c r="J63">
        <v>55</v>
      </c>
      <c r="K63">
        <v>-11</v>
      </c>
      <c r="L63">
        <v>46</v>
      </c>
      <c r="M63">
        <v>1.21</v>
      </c>
      <c r="N63">
        <v>44.9</v>
      </c>
      <c r="O63">
        <v>52.6</v>
      </c>
      <c r="P63">
        <v>-7.7</v>
      </c>
      <c r="Q63">
        <v>-0.2</v>
      </c>
      <c r="R63" s="1">
        <v>14158</v>
      </c>
      <c r="S63" t="s">
        <v>1301</v>
      </c>
      <c r="T63" t="s">
        <v>1302</v>
      </c>
    </row>
    <row r="64" spans="1:20" x14ac:dyDescent="0.2">
      <c r="A64" t="str" cm="1">
        <f t="array" ref="A64">_xlfn.IFS(C64="it ITA", "Serie A", C64="eng ENG", "Premier League", C64="de GER", "Bundesliga", C64="es ESP", "La Liga", C64="fr FRA", "Ligue 1")</f>
        <v>Premier League</v>
      </c>
      <c r="B64" t="s">
        <v>1</v>
      </c>
      <c r="C64" t="s">
        <v>150</v>
      </c>
      <c r="D64">
        <v>14</v>
      </c>
      <c r="E64">
        <v>38</v>
      </c>
      <c r="F64">
        <v>13</v>
      </c>
      <c r="G64">
        <v>6</v>
      </c>
      <c r="H64">
        <v>19</v>
      </c>
      <c r="I64">
        <v>52</v>
      </c>
      <c r="J64">
        <v>54</v>
      </c>
      <c r="K64">
        <v>-2</v>
      </c>
      <c r="L64">
        <v>45</v>
      </c>
      <c r="M64">
        <v>1.18</v>
      </c>
      <c r="N64">
        <v>44</v>
      </c>
      <c r="O64">
        <v>49</v>
      </c>
      <c r="P64">
        <v>-4.9000000000000004</v>
      </c>
      <c r="Q64">
        <v>-0.13</v>
      </c>
      <c r="R64" s="1">
        <v>41681</v>
      </c>
      <c r="S64" t="s">
        <v>1303</v>
      </c>
      <c r="T64" t="s">
        <v>1304</v>
      </c>
    </row>
    <row r="65" spans="1:20" x14ac:dyDescent="0.2">
      <c r="A65" t="str" cm="1">
        <f t="array" ref="A65">_xlfn.IFS(C65="it ITA", "Serie A", C65="eng ENG", "Premier League", C65="de GER", "Bundesliga", C65="es ESP", "La Liga", C65="fr FRA", "Ligue 1")</f>
        <v>Ligue 1</v>
      </c>
      <c r="B65" t="s">
        <v>88</v>
      </c>
      <c r="C65" t="s">
        <v>157</v>
      </c>
      <c r="D65">
        <v>13</v>
      </c>
      <c r="E65">
        <v>38</v>
      </c>
      <c r="F65">
        <v>12</v>
      </c>
      <c r="G65">
        <v>7</v>
      </c>
      <c r="H65">
        <v>19</v>
      </c>
      <c r="I65">
        <v>49</v>
      </c>
      <c r="J65">
        <v>61</v>
      </c>
      <c r="K65">
        <v>-12</v>
      </c>
      <c r="L65">
        <v>43</v>
      </c>
      <c r="M65">
        <v>1.1299999999999999</v>
      </c>
      <c r="N65">
        <v>42.7</v>
      </c>
      <c r="O65">
        <v>57.1</v>
      </c>
      <c r="P65">
        <v>-14.4</v>
      </c>
      <c r="Q65">
        <v>-0.38</v>
      </c>
      <c r="R65" s="1">
        <v>10711</v>
      </c>
      <c r="S65" t="s">
        <v>1305</v>
      </c>
      <c r="T65" t="s">
        <v>1306</v>
      </c>
    </row>
    <row r="66" spans="1:20" x14ac:dyDescent="0.2">
      <c r="A66" t="str" cm="1">
        <f t="array" ref="A66">_xlfn.IFS(C66="it ITA", "Serie A", C66="eng ENG", "Premier League", C66="de GER", "Bundesliga", C66="es ESP", "La Liga", C66="fr FRA", "Ligue 1")</f>
        <v>Bundesliga</v>
      </c>
      <c r="B66" t="s">
        <v>1025</v>
      </c>
      <c r="C66" t="s">
        <v>160</v>
      </c>
      <c r="D66">
        <v>14</v>
      </c>
      <c r="E66">
        <v>34</v>
      </c>
      <c r="F66">
        <v>10</v>
      </c>
      <c r="G66">
        <v>8</v>
      </c>
      <c r="H66">
        <v>16</v>
      </c>
      <c r="I66">
        <v>39</v>
      </c>
      <c r="J66">
        <v>56</v>
      </c>
      <c r="K66">
        <v>-17</v>
      </c>
      <c r="L66">
        <v>38</v>
      </c>
      <c r="M66">
        <v>1.1200000000000001</v>
      </c>
      <c r="N66">
        <v>36.700000000000003</v>
      </c>
      <c r="O66">
        <v>57.9</v>
      </c>
      <c r="P66">
        <v>-21.2</v>
      </c>
      <c r="Q66">
        <v>-0.62</v>
      </c>
      <c r="R66" s="1">
        <v>15197</v>
      </c>
      <c r="S66" t="s">
        <v>1307</v>
      </c>
      <c r="T66" t="s">
        <v>1308</v>
      </c>
    </row>
    <row r="67" spans="1:20" x14ac:dyDescent="0.2">
      <c r="A67" t="str" cm="1">
        <f t="array" ref="A67">_xlfn.IFS(C67="it ITA", "Serie A", C67="eng ENG", "Premier League", C67="de GER", "Bundesliga", C67="es ESP", "La Liga", C67="fr FRA", "Ligue 1")</f>
        <v>La Liga</v>
      </c>
      <c r="B67" t="s">
        <v>40</v>
      </c>
      <c r="C67" t="s">
        <v>165</v>
      </c>
      <c r="D67">
        <v>12</v>
      </c>
      <c r="E67">
        <v>38</v>
      </c>
      <c r="F67">
        <v>11</v>
      </c>
      <c r="G67">
        <v>9</v>
      </c>
      <c r="H67">
        <v>18</v>
      </c>
      <c r="I67">
        <v>39</v>
      </c>
      <c r="J67">
        <v>50</v>
      </c>
      <c r="K67">
        <v>-11</v>
      </c>
      <c r="L67">
        <v>42</v>
      </c>
      <c r="M67">
        <v>1.1100000000000001</v>
      </c>
      <c r="N67">
        <v>42.8</v>
      </c>
      <c r="O67">
        <v>48.4</v>
      </c>
      <c r="P67">
        <v>-5.6</v>
      </c>
      <c r="Q67">
        <v>-0.15</v>
      </c>
      <c r="R67" s="1">
        <v>7866</v>
      </c>
      <c r="S67" t="s">
        <v>1309</v>
      </c>
      <c r="T67" t="s">
        <v>1310</v>
      </c>
    </row>
    <row r="68" spans="1:20" x14ac:dyDescent="0.2">
      <c r="A68" t="str" cm="1">
        <f t="array" ref="A68">_xlfn.IFS(C68="it ITA", "Serie A", C68="eng ENG", "Premier League", C68="de GER", "Bundesliga", C68="es ESP", "La Liga", C68="fr FRA", "Ligue 1")</f>
        <v>La Liga</v>
      </c>
      <c r="B68" t="s">
        <v>1031</v>
      </c>
      <c r="C68" t="s">
        <v>165</v>
      </c>
      <c r="D68">
        <v>13</v>
      </c>
      <c r="E68">
        <v>38</v>
      </c>
      <c r="F68">
        <v>11</v>
      </c>
      <c r="G68">
        <v>9</v>
      </c>
      <c r="H68">
        <v>18</v>
      </c>
      <c r="I68">
        <v>40</v>
      </c>
      <c r="J68">
        <v>52</v>
      </c>
      <c r="K68">
        <v>-12</v>
      </c>
      <c r="L68">
        <v>42</v>
      </c>
      <c r="M68">
        <v>1.1100000000000001</v>
      </c>
      <c r="N68">
        <v>33.700000000000003</v>
      </c>
      <c r="O68">
        <v>59.1</v>
      </c>
      <c r="P68">
        <v>-25.4</v>
      </c>
      <c r="Q68">
        <v>-0.67</v>
      </c>
      <c r="R68" s="1">
        <v>15640</v>
      </c>
      <c r="S68" t="s">
        <v>1311</v>
      </c>
      <c r="T68" t="s">
        <v>1312</v>
      </c>
    </row>
    <row r="69" spans="1:20" x14ac:dyDescent="0.2">
      <c r="A69" t="str" cm="1">
        <f t="array" ref="A69">_xlfn.IFS(C69="it ITA", "Serie A", C69="eng ENG", "Premier League", C69="de GER", "Bundesliga", C69="es ESP", "La Liga", C69="fr FRA", "Ligue 1")</f>
        <v>La Liga</v>
      </c>
      <c r="B69" t="s">
        <v>112</v>
      </c>
      <c r="C69" t="s">
        <v>165</v>
      </c>
      <c r="D69">
        <v>14</v>
      </c>
      <c r="E69">
        <v>38</v>
      </c>
      <c r="F69">
        <v>10</v>
      </c>
      <c r="G69">
        <v>12</v>
      </c>
      <c r="H69">
        <v>16</v>
      </c>
      <c r="I69">
        <v>40</v>
      </c>
      <c r="J69">
        <v>53</v>
      </c>
      <c r="K69">
        <v>-13</v>
      </c>
      <c r="L69">
        <v>42</v>
      </c>
      <c r="M69">
        <v>1.1100000000000001</v>
      </c>
      <c r="N69">
        <v>36.700000000000003</v>
      </c>
      <c r="O69">
        <v>51.2</v>
      </c>
      <c r="P69">
        <v>-14.5</v>
      </c>
      <c r="Q69">
        <v>-0.38</v>
      </c>
      <c r="R69" s="1">
        <v>17362</v>
      </c>
      <c r="S69" t="s">
        <v>1313</v>
      </c>
      <c r="T69" t="s">
        <v>752</v>
      </c>
    </row>
    <row r="70" spans="1:20" x14ac:dyDescent="0.2">
      <c r="A70" t="str" cm="1">
        <f t="array" ref="A70">_xlfn.IFS(C70="it ITA", "Serie A", C70="eng ENG", "Premier League", C70="de GER", "Bundesliga", C70="es ESP", "La Liga", C70="fr FRA", "Ligue 1")</f>
        <v>Ligue 1</v>
      </c>
      <c r="B70" t="s">
        <v>104</v>
      </c>
      <c r="C70" t="s">
        <v>157</v>
      </c>
      <c r="D70">
        <v>14</v>
      </c>
      <c r="E70">
        <v>38</v>
      </c>
      <c r="F70">
        <v>10</v>
      </c>
      <c r="G70">
        <v>11</v>
      </c>
      <c r="H70">
        <v>17</v>
      </c>
      <c r="I70">
        <v>44</v>
      </c>
      <c r="J70">
        <v>55</v>
      </c>
      <c r="K70">
        <v>-11</v>
      </c>
      <c r="L70">
        <v>41</v>
      </c>
      <c r="M70">
        <v>1.08</v>
      </c>
      <c r="N70">
        <v>46.5</v>
      </c>
      <c r="O70">
        <v>50</v>
      </c>
      <c r="P70">
        <v>-3.6</v>
      </c>
      <c r="Q70">
        <v>-0.09</v>
      </c>
      <c r="R70" s="1">
        <v>7758</v>
      </c>
      <c r="S70" t="s">
        <v>1314</v>
      </c>
      <c r="T70" t="s">
        <v>1315</v>
      </c>
    </row>
    <row r="71" spans="1:20" x14ac:dyDescent="0.2">
      <c r="A71" t="str" cm="1">
        <f t="array" ref="A71">_xlfn.IFS(C71="it ITA", "Serie A", C71="eng ENG", "Premier League", C71="de GER", "Bundesliga", C71="es ESP", "La Liga", C71="fr FRA", "Ligue 1")</f>
        <v>Serie A</v>
      </c>
      <c r="B71" t="s">
        <v>122</v>
      </c>
      <c r="C71" t="s">
        <v>147</v>
      </c>
      <c r="D71">
        <v>14</v>
      </c>
      <c r="E71">
        <v>38</v>
      </c>
      <c r="F71">
        <v>10</v>
      </c>
      <c r="G71">
        <v>11</v>
      </c>
      <c r="H71">
        <v>17</v>
      </c>
      <c r="I71">
        <v>50</v>
      </c>
      <c r="J71">
        <v>70</v>
      </c>
      <c r="K71">
        <v>-20</v>
      </c>
      <c r="L71">
        <v>41</v>
      </c>
      <c r="M71">
        <v>1.08</v>
      </c>
      <c r="N71">
        <v>44.9</v>
      </c>
      <c r="O71">
        <v>66</v>
      </c>
      <c r="P71">
        <v>-21.2</v>
      </c>
      <c r="Q71">
        <v>-0.56000000000000005</v>
      </c>
      <c r="R71" s="1">
        <v>6356</v>
      </c>
      <c r="S71" t="s">
        <v>1316</v>
      </c>
      <c r="T71" t="s">
        <v>1317</v>
      </c>
    </row>
    <row r="72" spans="1:20" x14ac:dyDescent="0.2">
      <c r="A72" t="str" cm="1">
        <f t="array" ref="A72">_xlfn.IFS(C72="it ITA", "Serie A", C72="eng ENG", "Premier League", C72="de GER", "Bundesliga", C72="es ESP", "La Liga", C72="fr FRA", "Ligue 1")</f>
        <v>Premier League</v>
      </c>
      <c r="B72" t="s">
        <v>18</v>
      </c>
      <c r="C72" t="s">
        <v>150</v>
      </c>
      <c r="D72">
        <v>15</v>
      </c>
      <c r="E72">
        <v>38</v>
      </c>
      <c r="F72">
        <v>9</v>
      </c>
      <c r="G72">
        <v>13</v>
      </c>
      <c r="H72">
        <v>16</v>
      </c>
      <c r="I72">
        <v>43</v>
      </c>
      <c r="J72">
        <v>67</v>
      </c>
      <c r="K72">
        <v>-24</v>
      </c>
      <c r="L72">
        <v>40</v>
      </c>
      <c r="M72">
        <v>1.05</v>
      </c>
      <c r="N72">
        <v>44.8</v>
      </c>
      <c r="O72">
        <v>60</v>
      </c>
      <c r="P72">
        <v>-15.2</v>
      </c>
      <c r="Q72">
        <v>-0.4</v>
      </c>
      <c r="R72" s="1">
        <v>30134</v>
      </c>
      <c r="S72" t="s">
        <v>1318</v>
      </c>
      <c r="T72" t="s">
        <v>1175</v>
      </c>
    </row>
    <row r="73" spans="1:20" x14ac:dyDescent="0.2">
      <c r="A73" t="str" cm="1">
        <f t="array" ref="A73">_xlfn.IFS(C73="it ITA", "Serie A", C73="eng ENG", "Premier League", C73="de GER", "Bundesliga", C73="es ESP", "La Liga", C73="fr FRA", "Ligue 1")</f>
        <v>La Liga</v>
      </c>
      <c r="B73" t="s">
        <v>681</v>
      </c>
      <c r="C73" t="s">
        <v>165</v>
      </c>
      <c r="D73">
        <v>15</v>
      </c>
      <c r="E73">
        <v>38</v>
      </c>
      <c r="F73">
        <v>8</v>
      </c>
      <c r="G73">
        <v>15</v>
      </c>
      <c r="H73">
        <v>15</v>
      </c>
      <c r="I73">
        <v>33</v>
      </c>
      <c r="J73">
        <v>41</v>
      </c>
      <c r="K73">
        <v>-8</v>
      </c>
      <c r="L73">
        <v>39</v>
      </c>
      <c r="M73">
        <v>1.03</v>
      </c>
      <c r="N73">
        <v>29.3</v>
      </c>
      <c r="O73">
        <v>38.6</v>
      </c>
      <c r="P73">
        <v>-9.3000000000000007</v>
      </c>
      <c r="Q73">
        <v>-0.25</v>
      </c>
      <c r="R73" s="1">
        <v>8702</v>
      </c>
      <c r="S73" t="s">
        <v>1319</v>
      </c>
      <c r="T73" t="s">
        <v>1320</v>
      </c>
    </row>
    <row r="74" spans="1:20" x14ac:dyDescent="0.2">
      <c r="A74" t="str" cm="1">
        <f t="array" ref="A74">_xlfn.IFS(C74="it ITA", "Serie A", C74="eng ENG", "Premier League", C74="de GER", "Bundesliga", C74="es ESP", "La Liga", C74="fr FRA", "Ligue 1")</f>
        <v>La Liga</v>
      </c>
      <c r="B74" t="s">
        <v>694</v>
      </c>
      <c r="C74" t="s">
        <v>165</v>
      </c>
      <c r="D74">
        <v>17</v>
      </c>
      <c r="E74">
        <v>38</v>
      </c>
      <c r="F74">
        <v>8</v>
      </c>
      <c r="G74">
        <v>15</v>
      </c>
      <c r="H74">
        <v>15</v>
      </c>
      <c r="I74">
        <v>35</v>
      </c>
      <c r="J74">
        <v>51</v>
      </c>
      <c r="K74">
        <v>-16</v>
      </c>
      <c r="L74">
        <v>39</v>
      </c>
      <c r="M74">
        <v>1.03</v>
      </c>
      <c r="N74">
        <v>39.5</v>
      </c>
      <c r="O74">
        <v>48.3</v>
      </c>
      <c r="P74">
        <v>-8.6999999999999993</v>
      </c>
      <c r="Q74">
        <v>-0.23</v>
      </c>
      <c r="R74" s="1">
        <v>14055</v>
      </c>
      <c r="S74" t="s">
        <v>1321</v>
      </c>
      <c r="T74" t="s">
        <v>1322</v>
      </c>
    </row>
    <row r="75" spans="1:20" x14ac:dyDescent="0.2">
      <c r="A75" t="str" cm="1">
        <f t="array" ref="A75">_xlfn.IFS(C75="it ITA", "Serie A", C75="eng ENG", "Premier League", C75="de GER", "Bundesliga", C75="es ESP", "La Liga", C75="fr FRA", "Ligue 1")</f>
        <v>Premier League</v>
      </c>
      <c r="B75" t="s">
        <v>6</v>
      </c>
      <c r="C75" t="s">
        <v>150</v>
      </c>
      <c r="D75">
        <v>16</v>
      </c>
      <c r="E75">
        <v>38</v>
      </c>
      <c r="F75">
        <v>11</v>
      </c>
      <c r="G75">
        <v>6</v>
      </c>
      <c r="H75">
        <v>21</v>
      </c>
      <c r="I75">
        <v>43</v>
      </c>
      <c r="J75">
        <v>66</v>
      </c>
      <c r="K75">
        <v>-23</v>
      </c>
      <c r="L75">
        <v>39</v>
      </c>
      <c r="M75">
        <v>1.03</v>
      </c>
      <c r="N75">
        <v>41.2</v>
      </c>
      <c r="O75">
        <v>55.4</v>
      </c>
      <c r="P75">
        <v>-14.2</v>
      </c>
      <c r="Q75">
        <v>-0.37</v>
      </c>
      <c r="R75" s="1">
        <v>38446</v>
      </c>
      <c r="S75" t="s">
        <v>1323</v>
      </c>
      <c r="T75" t="s">
        <v>1113</v>
      </c>
    </row>
    <row r="76" spans="1:20" x14ac:dyDescent="0.2">
      <c r="A76" t="str" cm="1">
        <f t="array" ref="A76">_xlfn.IFS(C76="it ITA", "Serie A", C76="eng ENG", "Premier League", C76="de GER", "Bundesliga", C76="es ESP", "La Liga", C76="fr FRA", "Ligue 1")</f>
        <v>La Liga</v>
      </c>
      <c r="B76" t="s">
        <v>114</v>
      </c>
      <c r="C76" t="s">
        <v>165</v>
      </c>
      <c r="D76">
        <v>16</v>
      </c>
      <c r="E76">
        <v>38</v>
      </c>
      <c r="F76">
        <v>10</v>
      </c>
      <c r="G76">
        <v>9</v>
      </c>
      <c r="H76">
        <v>19</v>
      </c>
      <c r="I76">
        <v>36</v>
      </c>
      <c r="J76">
        <v>63</v>
      </c>
      <c r="K76">
        <v>-27</v>
      </c>
      <c r="L76">
        <v>39</v>
      </c>
      <c r="M76">
        <v>1.03</v>
      </c>
      <c r="N76">
        <v>38.799999999999997</v>
      </c>
      <c r="O76">
        <v>49.3</v>
      </c>
      <c r="P76">
        <v>-10.5</v>
      </c>
      <c r="Q76">
        <v>-0.28000000000000003</v>
      </c>
      <c r="R76" s="1">
        <v>12712</v>
      </c>
      <c r="S76" t="s">
        <v>1324</v>
      </c>
      <c r="T76" t="s">
        <v>1325</v>
      </c>
    </row>
    <row r="77" spans="1:20" x14ac:dyDescent="0.2">
      <c r="A77" t="str" cm="1">
        <f t="array" ref="A77">_xlfn.IFS(C77="it ITA", "Serie A", C77="eng ENG", "Premier League", C77="de GER", "Bundesliga", C77="es ESP", "La Liga", C77="fr FRA", "Ligue 1")</f>
        <v>Ligue 1</v>
      </c>
      <c r="B77" t="s">
        <v>513</v>
      </c>
      <c r="C77" t="s">
        <v>157</v>
      </c>
      <c r="D77">
        <v>15</v>
      </c>
      <c r="E77">
        <v>38</v>
      </c>
      <c r="F77">
        <v>9</v>
      </c>
      <c r="G77">
        <v>11</v>
      </c>
      <c r="H77">
        <v>18</v>
      </c>
      <c r="I77">
        <v>37</v>
      </c>
      <c r="J77">
        <v>53</v>
      </c>
      <c r="K77">
        <v>-16</v>
      </c>
      <c r="L77">
        <v>38</v>
      </c>
      <c r="M77">
        <v>1</v>
      </c>
      <c r="N77">
        <v>39.200000000000003</v>
      </c>
      <c r="O77">
        <v>50.8</v>
      </c>
      <c r="P77">
        <v>-11.5</v>
      </c>
      <c r="Q77">
        <v>-0.3</v>
      </c>
      <c r="R77" s="1">
        <v>9491</v>
      </c>
      <c r="S77" t="s">
        <v>1326</v>
      </c>
      <c r="T77" t="s">
        <v>1327</v>
      </c>
    </row>
    <row r="78" spans="1:20" x14ac:dyDescent="0.2">
      <c r="A78" t="str" cm="1">
        <f t="array" ref="A78">_xlfn.IFS(C78="it ITA", "Serie A", C78="eng ENG", "Premier League", C78="de GER", "Bundesliga", C78="es ESP", "La Liga", C78="fr FRA", "Ligue 1")</f>
        <v>La Liga</v>
      </c>
      <c r="B78" t="s">
        <v>1030</v>
      </c>
      <c r="C78" t="s">
        <v>165</v>
      </c>
      <c r="D78">
        <v>18</v>
      </c>
      <c r="E78">
        <v>38</v>
      </c>
      <c r="F78">
        <v>8</v>
      </c>
      <c r="G78">
        <v>14</v>
      </c>
      <c r="H78">
        <v>16</v>
      </c>
      <c r="I78">
        <v>44</v>
      </c>
      <c r="J78">
        <v>61</v>
      </c>
      <c r="K78">
        <v>-17</v>
      </c>
      <c r="L78">
        <v>38</v>
      </c>
      <c r="M78">
        <v>1</v>
      </c>
      <c r="N78">
        <v>39</v>
      </c>
      <c r="O78">
        <v>61.2</v>
      </c>
      <c r="P78">
        <v>-22.2</v>
      </c>
      <c r="Q78">
        <v>-0.59</v>
      </c>
      <c r="R78" s="1">
        <v>13710</v>
      </c>
      <c r="S78" t="s">
        <v>1328</v>
      </c>
      <c r="T78" t="s">
        <v>1329</v>
      </c>
    </row>
    <row r="79" spans="1:20" x14ac:dyDescent="0.2">
      <c r="A79" t="str" cm="1">
        <f t="array" ref="A79">_xlfn.IFS(C79="it ITA", "Serie A", C79="eng ENG", "Premier League", C79="de GER", "Bundesliga", C79="es ESP", "La Liga", C79="fr FRA", "Ligue 1")</f>
        <v>Premier League</v>
      </c>
      <c r="B79" t="s">
        <v>8</v>
      </c>
      <c r="C79" t="s">
        <v>150</v>
      </c>
      <c r="D79">
        <v>17</v>
      </c>
      <c r="E79">
        <v>38</v>
      </c>
      <c r="F79">
        <v>9</v>
      </c>
      <c r="G79">
        <v>11</v>
      </c>
      <c r="H79">
        <v>18</v>
      </c>
      <c r="I79">
        <v>42</v>
      </c>
      <c r="J79">
        <v>79</v>
      </c>
      <c r="K79">
        <v>-37</v>
      </c>
      <c r="L79">
        <v>38</v>
      </c>
      <c r="M79">
        <v>1</v>
      </c>
      <c r="N79">
        <v>44.4</v>
      </c>
      <c r="O79">
        <v>67.8</v>
      </c>
      <c r="P79">
        <v>-23.5</v>
      </c>
      <c r="Q79">
        <v>-0.62</v>
      </c>
      <c r="R79" s="1">
        <v>36308</v>
      </c>
      <c r="S79" t="s">
        <v>1330</v>
      </c>
      <c r="T79" t="s">
        <v>1331</v>
      </c>
    </row>
    <row r="80" spans="1:20" x14ac:dyDescent="0.2">
      <c r="A80" t="str" cm="1">
        <f t="array" ref="A80">_xlfn.IFS(C80="it ITA", "Serie A", C80="eng ENG", "Premier League", C80="de GER", "Bundesliga", C80="es ESP", "La Liga", C80="fr FRA", "Ligue 1")</f>
        <v>Bundesliga</v>
      </c>
      <c r="B80" t="s">
        <v>81</v>
      </c>
      <c r="C80" t="s">
        <v>160</v>
      </c>
      <c r="D80">
        <v>15</v>
      </c>
      <c r="E80">
        <v>34</v>
      </c>
      <c r="F80">
        <v>7</v>
      </c>
      <c r="G80">
        <v>12</v>
      </c>
      <c r="H80">
        <v>15</v>
      </c>
      <c r="I80">
        <v>41</v>
      </c>
      <c r="J80">
        <v>59</v>
      </c>
      <c r="K80">
        <v>-18</v>
      </c>
      <c r="L80">
        <v>33</v>
      </c>
      <c r="M80">
        <v>0.97</v>
      </c>
      <c r="N80">
        <v>43.7</v>
      </c>
      <c r="O80">
        <v>54</v>
      </c>
      <c r="P80">
        <v>-10.199999999999999</v>
      </c>
      <c r="Q80">
        <v>-0.3</v>
      </c>
      <c r="R80" s="1">
        <v>27052</v>
      </c>
      <c r="S80" t="s">
        <v>1332</v>
      </c>
      <c r="T80" t="s">
        <v>1333</v>
      </c>
    </row>
    <row r="81" spans="1:20" x14ac:dyDescent="0.2">
      <c r="A81" t="str" cm="1">
        <f t="array" ref="A81">_xlfn.IFS(C81="it ITA", "Serie A", C81="eng ENG", "Premier League", C81="de GER", "Bundesliga", C81="es ESP", "La Liga", C81="fr FRA", "Ligue 1")</f>
        <v>Bundesliga</v>
      </c>
      <c r="B81" t="s">
        <v>126</v>
      </c>
      <c r="C81" t="s">
        <v>160</v>
      </c>
      <c r="D81">
        <v>16</v>
      </c>
      <c r="E81">
        <v>34</v>
      </c>
      <c r="F81">
        <v>9</v>
      </c>
      <c r="G81">
        <v>6</v>
      </c>
      <c r="H81">
        <v>19</v>
      </c>
      <c r="I81">
        <v>37</v>
      </c>
      <c r="J81">
        <v>71</v>
      </c>
      <c r="K81">
        <v>-34</v>
      </c>
      <c r="L81">
        <v>33</v>
      </c>
      <c r="M81">
        <v>0.97</v>
      </c>
      <c r="N81">
        <v>33.299999999999997</v>
      </c>
      <c r="O81">
        <v>54.3</v>
      </c>
      <c r="P81">
        <v>-21</v>
      </c>
      <c r="Q81">
        <v>-0.62</v>
      </c>
      <c r="R81" s="1">
        <v>23500</v>
      </c>
      <c r="S81" t="s">
        <v>1334</v>
      </c>
      <c r="T81" t="s">
        <v>1152</v>
      </c>
    </row>
    <row r="82" spans="1:20" x14ac:dyDescent="0.2">
      <c r="A82" t="str" cm="1">
        <f t="array" ref="A82">_xlfn.IFS(C82="it ITA", "Serie A", C82="eng ENG", "Premier League", C82="de GER", "Bundesliga", C82="es ESP", "La Liga", C82="fr FRA", "Ligue 1")</f>
        <v>Serie A</v>
      </c>
      <c r="B82" t="s">
        <v>58</v>
      </c>
      <c r="C82" t="s">
        <v>147</v>
      </c>
      <c r="D82">
        <v>15</v>
      </c>
      <c r="E82">
        <v>38</v>
      </c>
      <c r="F82">
        <v>10</v>
      </c>
      <c r="G82">
        <v>6</v>
      </c>
      <c r="H82">
        <v>22</v>
      </c>
      <c r="I82">
        <v>46</v>
      </c>
      <c r="J82">
        <v>63</v>
      </c>
      <c r="K82">
        <v>-17</v>
      </c>
      <c r="L82">
        <v>36</v>
      </c>
      <c r="M82">
        <v>0.95</v>
      </c>
      <c r="N82">
        <v>36.700000000000003</v>
      </c>
      <c r="O82">
        <v>56.1</v>
      </c>
      <c r="P82">
        <v>-19.3</v>
      </c>
      <c r="Q82">
        <v>-0.51</v>
      </c>
      <c r="R82" s="1">
        <v>9417</v>
      </c>
      <c r="S82" t="s">
        <v>1335</v>
      </c>
      <c r="T82" t="s">
        <v>1336</v>
      </c>
    </row>
    <row r="83" spans="1:20" x14ac:dyDescent="0.2">
      <c r="A83" t="str" cm="1">
        <f t="array" ref="A83">_xlfn.IFS(C83="it ITA", "Serie A", C83="eng ENG", "Premier League", C83="de GER", "Bundesliga", C83="es ESP", "La Liga", C83="fr FRA", "Ligue 1")</f>
        <v>Ligue 1</v>
      </c>
      <c r="B83" t="s">
        <v>525</v>
      </c>
      <c r="C83" t="s">
        <v>157</v>
      </c>
      <c r="D83">
        <v>16</v>
      </c>
      <c r="E83">
        <v>38</v>
      </c>
      <c r="F83">
        <v>8</v>
      </c>
      <c r="G83">
        <v>12</v>
      </c>
      <c r="H83">
        <v>18</v>
      </c>
      <c r="I83">
        <v>35</v>
      </c>
      <c r="J83">
        <v>63</v>
      </c>
      <c r="K83">
        <v>-28</v>
      </c>
      <c r="L83">
        <v>36</v>
      </c>
      <c r="M83">
        <v>0.95</v>
      </c>
      <c r="N83">
        <v>41.3</v>
      </c>
      <c r="O83">
        <v>50.5</v>
      </c>
      <c r="P83">
        <v>-9.1999999999999993</v>
      </c>
      <c r="Q83">
        <v>-0.24</v>
      </c>
      <c r="R83" s="1">
        <v>12738</v>
      </c>
      <c r="S83" t="s">
        <v>1337</v>
      </c>
      <c r="T83" t="s">
        <v>1338</v>
      </c>
    </row>
    <row r="84" spans="1:20" x14ac:dyDescent="0.2">
      <c r="A84" t="str" cm="1">
        <f t="array" ref="A84">_xlfn.IFS(C84="it ITA", "Serie A", C84="eng ENG", "Premier League", C84="de GER", "Bundesliga", C84="es ESP", "La Liga", C84="fr FRA", "Ligue 1")</f>
        <v>Serie A</v>
      </c>
      <c r="B84" t="s">
        <v>1367</v>
      </c>
      <c r="C84" t="s">
        <v>147</v>
      </c>
      <c r="D84">
        <v>16</v>
      </c>
      <c r="E84">
        <v>38</v>
      </c>
      <c r="F84">
        <v>10</v>
      </c>
      <c r="G84">
        <v>6</v>
      </c>
      <c r="H84">
        <v>22</v>
      </c>
      <c r="I84">
        <v>41</v>
      </c>
      <c r="J84">
        <v>71</v>
      </c>
      <c r="K84">
        <v>-30</v>
      </c>
      <c r="L84">
        <v>36</v>
      </c>
      <c r="M84">
        <v>0.95</v>
      </c>
      <c r="N84">
        <v>40.1</v>
      </c>
      <c r="O84">
        <v>64.400000000000006</v>
      </c>
      <c r="P84">
        <v>-24.3</v>
      </c>
      <c r="Q84">
        <v>-0.64</v>
      </c>
      <c r="R84" s="1">
        <v>6709</v>
      </c>
      <c r="S84" t="s">
        <v>1339</v>
      </c>
      <c r="T84" t="s">
        <v>1340</v>
      </c>
    </row>
    <row r="85" spans="1:20" x14ac:dyDescent="0.2">
      <c r="A85" t="str" cm="1">
        <f t="array" ref="A85">_xlfn.IFS(C85="it ITA", "Serie A", C85="eng ENG", "Premier League", C85="de GER", "Bundesliga", C85="es ESP", "La Liga", C85="fr FRA", "Ligue 1")</f>
        <v>Ligue 1</v>
      </c>
      <c r="B85" t="s">
        <v>1368</v>
      </c>
      <c r="C85" t="s">
        <v>157</v>
      </c>
      <c r="D85">
        <v>17</v>
      </c>
      <c r="E85">
        <v>38</v>
      </c>
      <c r="F85">
        <v>9</v>
      </c>
      <c r="G85">
        <v>9</v>
      </c>
      <c r="H85">
        <v>20</v>
      </c>
      <c r="I85">
        <v>38</v>
      </c>
      <c r="J85">
        <v>69</v>
      </c>
      <c r="K85">
        <v>-31</v>
      </c>
      <c r="L85">
        <v>36</v>
      </c>
      <c r="M85">
        <v>0.95</v>
      </c>
      <c r="N85">
        <v>44.4</v>
      </c>
      <c r="O85">
        <v>52.4</v>
      </c>
      <c r="P85">
        <v>-8</v>
      </c>
      <c r="Q85">
        <v>-0.21</v>
      </c>
      <c r="R85" s="1">
        <v>10569</v>
      </c>
      <c r="S85" t="s">
        <v>1341</v>
      </c>
      <c r="T85" t="s">
        <v>1342</v>
      </c>
    </row>
    <row r="86" spans="1:20" x14ac:dyDescent="0.2">
      <c r="A86" t="str" cm="1">
        <f t="array" ref="A86">_xlfn.IFS(C86="it ITA", "Serie A", C86="eng ENG", "Premier League", C86="de GER", "Bundesliga", C86="es ESP", "La Liga", C86="fr FRA", "Ligue 1")</f>
        <v>Premier League</v>
      </c>
      <c r="B86" t="s">
        <v>863</v>
      </c>
      <c r="C86" t="s">
        <v>150</v>
      </c>
      <c r="D86">
        <v>18</v>
      </c>
      <c r="E86">
        <v>38</v>
      </c>
      <c r="F86">
        <v>7</v>
      </c>
      <c r="G86">
        <v>14</v>
      </c>
      <c r="H86">
        <v>17</v>
      </c>
      <c r="I86">
        <v>34</v>
      </c>
      <c r="J86">
        <v>53</v>
      </c>
      <c r="K86">
        <v>-19</v>
      </c>
      <c r="L86">
        <v>35</v>
      </c>
      <c r="M86">
        <v>0.92</v>
      </c>
      <c r="N86">
        <v>39.700000000000003</v>
      </c>
      <c r="O86">
        <v>57.1</v>
      </c>
      <c r="P86">
        <v>-17.399999999999999</v>
      </c>
      <c r="Q86">
        <v>-0.46</v>
      </c>
      <c r="R86" s="1">
        <v>19278</v>
      </c>
      <c r="S86" t="s">
        <v>1343</v>
      </c>
      <c r="T86" t="s">
        <v>1094</v>
      </c>
    </row>
    <row r="87" spans="1:20" x14ac:dyDescent="0.2">
      <c r="A87" t="str" cm="1">
        <f t="array" ref="A87">_xlfn.IFS(C87="it ITA", "Serie A", C87="eng ENG", "Premier League", C87="de GER", "Bundesliga", C87="es ESP", "La Liga", C87="fr FRA", "Ligue 1")</f>
        <v>La Liga</v>
      </c>
      <c r="B87" t="s">
        <v>1026</v>
      </c>
      <c r="C87" t="s">
        <v>165</v>
      </c>
      <c r="D87">
        <v>19</v>
      </c>
      <c r="E87">
        <v>38</v>
      </c>
      <c r="F87">
        <v>8</v>
      </c>
      <c r="G87">
        <v>11</v>
      </c>
      <c r="H87">
        <v>19</v>
      </c>
      <c r="I87">
        <v>51</v>
      </c>
      <c r="J87">
        <v>76</v>
      </c>
      <c r="K87">
        <v>-25</v>
      </c>
      <c r="L87">
        <v>35</v>
      </c>
      <c r="M87">
        <v>0.92</v>
      </c>
      <c r="N87">
        <v>55.1</v>
      </c>
      <c r="O87">
        <v>55</v>
      </c>
      <c r="P87">
        <v>0.1</v>
      </c>
      <c r="Q87">
        <v>0</v>
      </c>
      <c r="R87" s="1">
        <v>14961</v>
      </c>
      <c r="S87" t="s">
        <v>1344</v>
      </c>
      <c r="T87" t="s">
        <v>1345</v>
      </c>
    </row>
    <row r="88" spans="1:20" x14ac:dyDescent="0.2">
      <c r="A88" t="str" cm="1">
        <f t="array" ref="A88">_xlfn.IFS(C88="it ITA", "Serie A", C88="eng ENG", "Premier League", C88="de GER", "Bundesliga", C88="es ESP", "La Liga", C88="fr FRA", "Ligue 1")</f>
        <v>Ligue 1</v>
      </c>
      <c r="B88" t="s">
        <v>92</v>
      </c>
      <c r="C88" t="s">
        <v>157</v>
      </c>
      <c r="D88">
        <v>18</v>
      </c>
      <c r="E88">
        <v>38</v>
      </c>
      <c r="F88">
        <v>7</v>
      </c>
      <c r="G88">
        <v>11</v>
      </c>
      <c r="H88">
        <v>20</v>
      </c>
      <c r="I88">
        <v>42</v>
      </c>
      <c r="J88">
        <v>77</v>
      </c>
      <c r="K88">
        <v>-35</v>
      </c>
      <c r="L88">
        <v>32</v>
      </c>
      <c r="M88">
        <v>0.84</v>
      </c>
      <c r="N88">
        <v>38.299999999999997</v>
      </c>
      <c r="O88">
        <v>58.3</v>
      </c>
      <c r="P88">
        <v>-20</v>
      </c>
      <c r="Q88">
        <v>-0.53</v>
      </c>
      <c r="R88" s="1">
        <v>21806</v>
      </c>
      <c r="S88" t="s">
        <v>1346</v>
      </c>
      <c r="T88" t="s">
        <v>1347</v>
      </c>
    </row>
    <row r="89" spans="1:20" x14ac:dyDescent="0.2">
      <c r="A89" t="str" cm="1">
        <f t="array" ref="A89">_xlfn.IFS(C89="it ITA", "Serie A", C89="eng ENG", "Premier League", C89="de GER", "Bundesliga", C89="es ESP", "La Liga", C89="fr FRA", "Ligue 1")</f>
        <v>Bundesliga</v>
      </c>
      <c r="B89" t="s">
        <v>357</v>
      </c>
      <c r="C89" t="s">
        <v>160</v>
      </c>
      <c r="D89">
        <v>17</v>
      </c>
      <c r="E89">
        <v>34</v>
      </c>
      <c r="F89">
        <v>5</v>
      </c>
      <c r="G89">
        <v>13</v>
      </c>
      <c r="H89">
        <v>16</v>
      </c>
      <c r="I89">
        <v>27</v>
      </c>
      <c r="J89">
        <v>53</v>
      </c>
      <c r="K89">
        <v>-26</v>
      </c>
      <c r="L89">
        <v>28</v>
      </c>
      <c r="M89">
        <v>0.82</v>
      </c>
      <c r="N89">
        <v>26.3</v>
      </c>
      <c r="O89">
        <v>62.8</v>
      </c>
      <c r="P89">
        <v>-36.6</v>
      </c>
      <c r="Q89">
        <v>-1.08</v>
      </c>
      <c r="R89" s="1">
        <v>16773</v>
      </c>
      <c r="S89" t="s">
        <v>1348</v>
      </c>
      <c r="T89" t="s">
        <v>1349</v>
      </c>
    </row>
    <row r="90" spans="1:20" x14ac:dyDescent="0.2">
      <c r="A90" t="str" cm="1">
        <f t="array" ref="A90">_xlfn.IFS(C90="it ITA", "Serie A", C90="eng ENG", "Premier League", C90="de GER", "Bundesliga", C90="es ESP", "La Liga", C90="fr FRA", "Ligue 1")</f>
        <v>La Liga</v>
      </c>
      <c r="B90" t="s">
        <v>511</v>
      </c>
      <c r="C90" t="s">
        <v>165</v>
      </c>
      <c r="D90">
        <v>20</v>
      </c>
      <c r="E90">
        <v>38</v>
      </c>
      <c r="F90">
        <v>8</v>
      </c>
      <c r="G90">
        <v>7</v>
      </c>
      <c r="H90">
        <v>23</v>
      </c>
      <c r="I90">
        <v>31</v>
      </c>
      <c r="J90">
        <v>65</v>
      </c>
      <c r="K90">
        <v>-34</v>
      </c>
      <c r="L90">
        <v>31</v>
      </c>
      <c r="M90">
        <v>0.82</v>
      </c>
      <c r="N90">
        <v>37.299999999999997</v>
      </c>
      <c r="O90">
        <v>57</v>
      </c>
      <c r="P90">
        <v>-19.7</v>
      </c>
      <c r="Q90">
        <v>-0.52</v>
      </c>
      <c r="R90" s="1">
        <v>10952</v>
      </c>
      <c r="S90" t="s">
        <v>1350</v>
      </c>
      <c r="T90" t="s">
        <v>1123</v>
      </c>
    </row>
    <row r="91" spans="1:20" x14ac:dyDescent="0.2">
      <c r="A91" t="str" cm="1">
        <f t="array" ref="A91">_xlfn.IFS(C91="it ITA", "Serie A", C91="eng ENG", "Premier League", C91="de GER", "Bundesliga", C91="es ESP", "La Liga", C91="fr FRA", "Ligue 1")</f>
        <v>Ligue 1</v>
      </c>
      <c r="B91" t="s">
        <v>93</v>
      </c>
      <c r="C91" t="s">
        <v>157</v>
      </c>
      <c r="D91">
        <v>19</v>
      </c>
      <c r="E91">
        <v>38</v>
      </c>
      <c r="F91">
        <v>6</v>
      </c>
      <c r="G91">
        <v>13</v>
      </c>
      <c r="H91">
        <v>19</v>
      </c>
      <c r="I91">
        <v>35</v>
      </c>
      <c r="J91">
        <v>69</v>
      </c>
      <c r="K91">
        <v>-34</v>
      </c>
      <c r="L91">
        <v>31</v>
      </c>
      <c r="M91">
        <v>0.82</v>
      </c>
      <c r="N91">
        <v>29.2</v>
      </c>
      <c r="O91">
        <v>62.5</v>
      </c>
      <c r="P91">
        <v>-33.4</v>
      </c>
      <c r="Q91">
        <v>-0.88</v>
      </c>
      <c r="R91" s="1">
        <v>14876</v>
      </c>
      <c r="S91" t="s">
        <v>1351</v>
      </c>
      <c r="T91" t="s">
        <v>1352</v>
      </c>
    </row>
    <row r="92" spans="1:20" x14ac:dyDescent="0.2">
      <c r="A92" t="str" cm="1">
        <f t="array" ref="A92">_xlfn.IFS(C92="it ITA", "Serie A", C92="eng ENG", "Premier League", C92="de GER", "Bundesliga", C92="es ESP", "La Liga", C92="fr FRA", "Ligue 1")</f>
        <v>Ligue 1</v>
      </c>
      <c r="B92" t="s">
        <v>85</v>
      </c>
      <c r="C92" t="s">
        <v>157</v>
      </c>
      <c r="D92">
        <v>20</v>
      </c>
      <c r="E92">
        <v>38</v>
      </c>
      <c r="F92">
        <v>6</v>
      </c>
      <c r="G92">
        <v>13</v>
      </c>
      <c r="H92">
        <v>19</v>
      </c>
      <c r="I92">
        <v>52</v>
      </c>
      <c r="J92">
        <v>91</v>
      </c>
      <c r="K92">
        <v>-39</v>
      </c>
      <c r="L92">
        <v>31</v>
      </c>
      <c r="M92">
        <v>0.82</v>
      </c>
      <c r="N92">
        <v>44.9</v>
      </c>
      <c r="O92">
        <v>66.8</v>
      </c>
      <c r="P92">
        <v>-21.9</v>
      </c>
      <c r="Q92">
        <v>-0.57999999999999996</v>
      </c>
      <c r="R92" s="1">
        <v>22141</v>
      </c>
      <c r="S92" t="s">
        <v>1353</v>
      </c>
      <c r="T92" t="s">
        <v>944</v>
      </c>
    </row>
    <row r="93" spans="1:20" x14ac:dyDescent="0.2">
      <c r="A93" t="str" cm="1">
        <f t="array" ref="A93">_xlfn.IFS(C93="it ITA", "Serie A", C93="eng ENG", "Premier League", C93="de GER", "Bundesliga", C93="es ESP", "La Liga", C93="fr FRA", "Ligue 1")</f>
        <v>Serie A</v>
      </c>
      <c r="B93" t="s">
        <v>1369</v>
      </c>
      <c r="C93" t="s">
        <v>147</v>
      </c>
      <c r="D93">
        <v>17</v>
      </c>
      <c r="E93">
        <v>38</v>
      </c>
      <c r="F93">
        <v>7</v>
      </c>
      <c r="G93">
        <v>10</v>
      </c>
      <c r="H93">
        <v>21</v>
      </c>
      <c r="I93">
        <v>33</v>
      </c>
      <c r="J93">
        <v>78</v>
      </c>
      <c r="K93">
        <v>-45</v>
      </c>
      <c r="L93">
        <v>31</v>
      </c>
      <c r="M93">
        <v>0.82</v>
      </c>
      <c r="N93">
        <v>36.5</v>
      </c>
      <c r="O93">
        <v>65.2</v>
      </c>
      <c r="P93">
        <v>-28.7</v>
      </c>
      <c r="Q93">
        <v>-0.76</v>
      </c>
      <c r="R93" s="1">
        <v>15073</v>
      </c>
      <c r="S93" t="s">
        <v>1354</v>
      </c>
      <c r="T93" t="s">
        <v>1355</v>
      </c>
    </row>
    <row r="94" spans="1:20" x14ac:dyDescent="0.2">
      <c r="A94" t="str" cm="1">
        <f t="array" ref="A94">_xlfn.IFS(C94="it ITA", "Serie A", C94="eng ENG", "Premier League", C94="de GER", "Bundesliga", C94="es ESP", "La Liga", C94="fr FRA", "Ligue 1")</f>
        <v>Serie A</v>
      </c>
      <c r="B94" t="s">
        <v>44</v>
      </c>
      <c r="C94" t="s">
        <v>147</v>
      </c>
      <c r="D94">
        <v>18</v>
      </c>
      <c r="E94">
        <v>38</v>
      </c>
      <c r="F94">
        <v>6</v>
      </c>
      <c r="G94">
        <v>12</v>
      </c>
      <c r="H94">
        <v>20</v>
      </c>
      <c r="I94">
        <v>34</v>
      </c>
      <c r="J94">
        <v>68</v>
      </c>
      <c r="K94">
        <v>-34</v>
      </c>
      <c r="L94">
        <v>30</v>
      </c>
      <c r="M94">
        <v>0.79</v>
      </c>
      <c r="N94">
        <v>39</v>
      </c>
      <c r="O94">
        <v>61</v>
      </c>
      <c r="P94">
        <v>-21.9</v>
      </c>
      <c r="Q94">
        <v>-0.57999999999999996</v>
      </c>
      <c r="R94" s="1">
        <v>9718</v>
      </c>
      <c r="S94" t="s">
        <v>1356</v>
      </c>
      <c r="T94" t="s">
        <v>1160</v>
      </c>
    </row>
    <row r="95" spans="1:20" x14ac:dyDescent="0.2">
      <c r="A95" t="str" cm="1">
        <f t="array" ref="A95">_xlfn.IFS(C95="it ITA", "Serie A", C95="eng ENG", "Premier League", C95="de GER", "Bundesliga", C95="es ESP", "La Liga", C95="fr FRA", "Ligue 1")</f>
        <v>Serie A</v>
      </c>
      <c r="B95" t="s">
        <v>47</v>
      </c>
      <c r="C95" t="s">
        <v>147</v>
      </c>
      <c r="D95">
        <v>19</v>
      </c>
      <c r="E95">
        <v>38</v>
      </c>
      <c r="F95">
        <v>4</v>
      </c>
      <c r="G95">
        <v>16</v>
      </c>
      <c r="H95">
        <v>18</v>
      </c>
      <c r="I95">
        <v>27</v>
      </c>
      <c r="J95">
        <v>60</v>
      </c>
      <c r="K95">
        <v>-33</v>
      </c>
      <c r="L95">
        <v>28</v>
      </c>
      <c r="M95">
        <v>0.74</v>
      </c>
      <c r="N95">
        <v>37.200000000000003</v>
      </c>
      <c r="O95">
        <v>54.1</v>
      </c>
      <c r="P95">
        <v>-16.899999999999999</v>
      </c>
      <c r="Q95">
        <v>-0.44</v>
      </c>
      <c r="R95" s="1">
        <v>12326</v>
      </c>
      <c r="S95" t="s">
        <v>1357</v>
      </c>
      <c r="T95" t="s">
        <v>732</v>
      </c>
    </row>
    <row r="96" spans="1:20" x14ac:dyDescent="0.2">
      <c r="A96" t="str" cm="1">
        <f t="array" ref="A96">_xlfn.IFS(C96="it ITA", "Serie A", C96="eng ENG", "Premier League", C96="de GER", "Bundesliga", C96="es ESP", "La Liga", C96="fr FRA", "Ligue 1")</f>
        <v>Serie A</v>
      </c>
      <c r="B96" t="s">
        <v>527</v>
      </c>
      <c r="C96" t="s">
        <v>147</v>
      </c>
      <c r="D96">
        <v>20</v>
      </c>
      <c r="E96">
        <v>38</v>
      </c>
      <c r="F96">
        <v>6</v>
      </c>
      <c r="G96">
        <v>9</v>
      </c>
      <c r="H96">
        <v>23</v>
      </c>
      <c r="I96">
        <v>34</v>
      </c>
      <c r="J96">
        <v>69</v>
      </c>
      <c r="K96">
        <v>-35</v>
      </c>
      <c r="L96">
        <v>27</v>
      </c>
      <c r="M96">
        <v>0.71</v>
      </c>
      <c r="N96">
        <v>36.5</v>
      </c>
      <c r="O96">
        <v>71.8</v>
      </c>
      <c r="P96">
        <v>-35.299999999999997</v>
      </c>
      <c r="Q96">
        <v>-0.93</v>
      </c>
      <c r="R96" s="1">
        <v>6648</v>
      </c>
      <c r="S96" t="s">
        <v>1358</v>
      </c>
      <c r="T96" t="s">
        <v>1359</v>
      </c>
    </row>
    <row r="97" spans="1:20" x14ac:dyDescent="0.2">
      <c r="A97" t="str" cm="1">
        <f t="array" ref="A97">_xlfn.IFS(C97="it ITA", "Serie A", C97="eng ENG", "Premier League", C97="de GER", "Bundesliga", C97="es ESP", "La Liga", C97="fr FRA", "Ligue 1")</f>
        <v>Premier League</v>
      </c>
      <c r="B97" t="s">
        <v>1205</v>
      </c>
      <c r="C97" t="s">
        <v>150</v>
      </c>
      <c r="D97">
        <v>19</v>
      </c>
      <c r="E97">
        <v>38</v>
      </c>
      <c r="F97">
        <v>6</v>
      </c>
      <c r="G97">
        <v>5</v>
      </c>
      <c r="H97">
        <v>27</v>
      </c>
      <c r="I97">
        <v>34</v>
      </c>
      <c r="J97">
        <v>77</v>
      </c>
      <c r="K97">
        <v>-43</v>
      </c>
      <c r="L97">
        <v>23</v>
      </c>
      <c r="M97">
        <v>0.61</v>
      </c>
      <c r="N97">
        <v>40</v>
      </c>
      <c r="O97">
        <v>64.5</v>
      </c>
      <c r="P97">
        <v>-24.5</v>
      </c>
      <c r="Q97">
        <v>-0.64</v>
      </c>
      <c r="R97" s="1">
        <v>20614</v>
      </c>
      <c r="S97" t="s">
        <v>1360</v>
      </c>
      <c r="T97" t="s">
        <v>997</v>
      </c>
    </row>
    <row r="98" spans="1:20" x14ac:dyDescent="0.2">
      <c r="A98" t="str" cm="1">
        <f t="array" ref="A98">_xlfn.IFS(C98="it ITA", "Serie A", C98="eng ENG", "Premier League", C98="de GER", "Bundesliga", C98="es ESP", "La Liga", C98="fr FRA", "Ligue 1")</f>
        <v>Premier League</v>
      </c>
      <c r="B98" t="s">
        <v>13</v>
      </c>
      <c r="C98" t="s">
        <v>150</v>
      </c>
      <c r="D98">
        <v>20</v>
      </c>
      <c r="E98">
        <v>38</v>
      </c>
      <c r="F98">
        <v>5</v>
      </c>
      <c r="G98">
        <v>7</v>
      </c>
      <c r="H98">
        <v>26</v>
      </c>
      <c r="I98">
        <v>23</v>
      </c>
      <c r="J98">
        <v>84</v>
      </c>
      <c r="K98">
        <v>-61</v>
      </c>
      <c r="L98">
        <v>22</v>
      </c>
      <c r="M98">
        <v>0.57999999999999996</v>
      </c>
      <c r="N98">
        <v>32.299999999999997</v>
      </c>
      <c r="O98">
        <v>75.5</v>
      </c>
      <c r="P98">
        <v>-43.2</v>
      </c>
      <c r="Q98">
        <v>-1.1399999999999999</v>
      </c>
      <c r="R98" s="1">
        <v>26836</v>
      </c>
      <c r="S98" t="s">
        <v>1361</v>
      </c>
      <c r="T98" t="s">
        <v>936</v>
      </c>
    </row>
    <row r="99" spans="1:20" x14ac:dyDescent="0.2">
      <c r="A99" t="str" cm="1">
        <f t="array" ref="A99">_xlfn.IFS(C99="it ITA", "Serie A", C99="eng ENG", "Premier League", C99="de GER", "Bundesliga", C99="es ESP", "La Liga", C99="fr FRA", "Ligue 1")</f>
        <v>Bundesliga</v>
      </c>
      <c r="B99" t="s">
        <v>1370</v>
      </c>
      <c r="C99" t="s">
        <v>160</v>
      </c>
      <c r="D99">
        <v>18</v>
      </c>
      <c r="E99">
        <v>34</v>
      </c>
      <c r="F99">
        <v>3</v>
      </c>
      <c r="G99">
        <v>9</v>
      </c>
      <c r="H99">
        <v>22</v>
      </c>
      <c r="I99">
        <v>28</v>
      </c>
      <c r="J99">
        <v>82</v>
      </c>
      <c r="K99">
        <v>-54</v>
      </c>
      <c r="L99">
        <v>18</v>
      </c>
      <c r="M99">
        <v>0.53</v>
      </c>
      <c r="N99">
        <v>30</v>
      </c>
      <c r="O99">
        <v>60.2</v>
      </c>
      <c r="P99">
        <v>-30.2</v>
      </c>
      <c r="Q99">
        <v>-0.89</v>
      </c>
      <c r="R99" s="1">
        <v>7672</v>
      </c>
      <c r="S99" t="s">
        <v>1362</v>
      </c>
      <c r="T99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year1994</vt:lpstr>
      <vt:lpstr>year1998</vt:lpstr>
      <vt:lpstr>year2002</vt:lpstr>
      <vt:lpstr>year2006</vt:lpstr>
      <vt:lpstr>year2010</vt:lpstr>
      <vt:lpstr>year2014</vt:lpstr>
      <vt:lpstr>year2018</vt:lpstr>
      <vt:lpstr>year2022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Estee Ng</dc:creator>
  <cp:lastModifiedBy>Estee Ng</cp:lastModifiedBy>
  <dcterms:created xsi:type="dcterms:W3CDTF">2025-11-15T06:58:27Z</dcterms:created>
  <dcterms:modified xsi:type="dcterms:W3CDTF">2025-11-15T07:25:58Z</dcterms:modified>
</cp:coreProperties>
</file>